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nilakantan\Desktop\Finance Package\"/>
    </mc:Choice>
  </mc:AlternateContent>
  <xr:revisionPtr revIDLastSave="0" documentId="13_ncr:1_{4DC91A3F-F7D5-4CD2-9B53-5030EB9481D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2022" sheetId="1" r:id="rId1"/>
    <sheet name="2023" sheetId="2" r:id="rId2"/>
    <sheet name="2024" sheetId="3" r:id="rId3"/>
    <sheet name="2025" sheetId="4" r:id="rId4"/>
    <sheet name="202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" i="5" l="1"/>
  <c r="R59" i="5"/>
  <c r="S58" i="5"/>
  <c r="R58" i="5"/>
  <c r="R55" i="5"/>
  <c r="R54" i="5"/>
  <c r="R53" i="5"/>
  <c r="S53" i="5" s="1"/>
  <c r="R50" i="5"/>
  <c r="R49" i="5"/>
  <c r="S48" i="5"/>
  <c r="R48" i="5"/>
  <c r="R45" i="5"/>
  <c r="R44" i="5"/>
  <c r="R43" i="5"/>
  <c r="S43" i="5" s="1"/>
  <c r="R40" i="5"/>
  <c r="R39" i="5"/>
  <c r="S38" i="5"/>
  <c r="R38" i="5"/>
  <c r="V35" i="5"/>
  <c r="R35" i="5"/>
  <c r="R34" i="5"/>
  <c r="R33" i="5"/>
  <c r="S33" i="5" s="1"/>
  <c r="R30" i="5"/>
  <c r="R29" i="5"/>
  <c r="R28" i="5"/>
  <c r="S28" i="5" s="1"/>
  <c r="R25" i="5"/>
  <c r="R24" i="5"/>
  <c r="R23" i="5"/>
  <c r="S23" i="5" s="1"/>
  <c r="R20" i="5"/>
  <c r="R19" i="5"/>
  <c r="R18" i="5"/>
  <c r="S18" i="5" s="1"/>
  <c r="R15" i="5"/>
  <c r="R14" i="5"/>
  <c r="R13" i="5"/>
  <c r="S13" i="5" s="1"/>
  <c r="S8" i="5"/>
  <c r="R5" i="5"/>
  <c r="S3" i="5" s="1"/>
  <c r="R4" i="5"/>
  <c r="R3" i="5"/>
  <c r="R60" i="4"/>
  <c r="R59" i="4"/>
  <c r="R58" i="4"/>
  <c r="S58" i="4" s="1"/>
  <c r="R55" i="4"/>
  <c r="S53" i="4" s="1"/>
  <c r="R54" i="4"/>
  <c r="R53" i="4"/>
  <c r="R50" i="4"/>
  <c r="R49" i="4"/>
  <c r="R48" i="4"/>
  <c r="S48" i="4" s="1"/>
  <c r="R45" i="4"/>
  <c r="S43" i="4" s="1"/>
  <c r="R44" i="4"/>
  <c r="R43" i="4"/>
  <c r="R40" i="4"/>
  <c r="R39" i="4"/>
  <c r="R38" i="4"/>
  <c r="S38" i="4" s="1"/>
  <c r="V35" i="4"/>
  <c r="R35" i="4"/>
  <c r="R34" i="4"/>
  <c r="R33" i="4"/>
  <c r="S33" i="4" s="1"/>
  <c r="R30" i="4"/>
  <c r="R29" i="4"/>
  <c r="R28" i="4"/>
  <c r="S28" i="4" s="1"/>
  <c r="R25" i="4"/>
  <c r="R24" i="4"/>
  <c r="S23" i="4" s="1"/>
  <c r="R23" i="4"/>
  <c r="V20" i="4"/>
  <c r="R20" i="4"/>
  <c r="R19" i="4"/>
  <c r="S18" i="4"/>
  <c r="R18" i="4"/>
  <c r="R15" i="4"/>
  <c r="R14" i="4"/>
  <c r="R13" i="4"/>
  <c r="S13" i="4" s="1"/>
  <c r="R10" i="4"/>
  <c r="R9" i="4"/>
  <c r="S8" i="4"/>
  <c r="R8" i="4"/>
  <c r="R5" i="4"/>
  <c r="R4" i="4"/>
  <c r="R3" i="4"/>
  <c r="S3" i="4" s="1"/>
  <c r="P60" i="3"/>
  <c r="P59" i="3"/>
  <c r="Q58" i="3"/>
  <c r="P58" i="3"/>
  <c r="P55" i="3"/>
  <c r="P54" i="3"/>
  <c r="P53" i="3"/>
  <c r="Q53" i="3" s="1"/>
  <c r="P50" i="3"/>
  <c r="P49" i="3"/>
  <c r="Q48" i="3"/>
  <c r="P48" i="3"/>
  <c r="P45" i="3"/>
  <c r="P44" i="3"/>
  <c r="P43" i="3"/>
  <c r="Q43" i="3" s="1"/>
  <c r="P40" i="3"/>
  <c r="P39" i="3"/>
  <c r="Q38" i="3"/>
  <c r="P38" i="3"/>
  <c r="P35" i="3"/>
  <c r="P34" i="3"/>
  <c r="P33" i="3"/>
  <c r="Q33" i="3" s="1"/>
  <c r="P30" i="3"/>
  <c r="P29" i="3"/>
  <c r="P28" i="3"/>
  <c r="Q28" i="3" s="1"/>
  <c r="P25" i="3"/>
  <c r="P24" i="3"/>
  <c r="P23" i="3"/>
  <c r="Q23" i="3" s="1"/>
  <c r="T20" i="3"/>
  <c r="T35" i="3" s="1"/>
  <c r="P20" i="3"/>
  <c r="Q18" i="3" s="1"/>
  <c r="P19" i="3"/>
  <c r="P18" i="3"/>
  <c r="P15" i="3"/>
  <c r="P14" i="3"/>
  <c r="P13" i="3"/>
  <c r="Q13" i="3" s="1"/>
  <c r="P10" i="3"/>
  <c r="Q8" i="3" s="1"/>
  <c r="P9" i="3"/>
  <c r="P8" i="3"/>
  <c r="P5" i="3"/>
  <c r="P4" i="3"/>
  <c r="P3" i="3"/>
  <c r="Q3" i="3" s="1"/>
  <c r="M60" i="2"/>
  <c r="N58" i="2" s="1"/>
  <c r="M59" i="2"/>
  <c r="M58" i="2"/>
  <c r="M55" i="2"/>
  <c r="M54" i="2"/>
  <c r="M53" i="2"/>
  <c r="N53" i="2" s="1"/>
  <c r="M50" i="2"/>
  <c r="N48" i="2" s="1"/>
  <c r="M49" i="2"/>
  <c r="M48" i="2"/>
  <c r="M45" i="2"/>
  <c r="M44" i="2"/>
  <c r="M43" i="2"/>
  <c r="N43" i="2" s="1"/>
  <c r="M40" i="2"/>
  <c r="N38" i="2" s="1"/>
  <c r="M39" i="2"/>
  <c r="M38" i="2"/>
  <c r="M35" i="2"/>
  <c r="M34" i="2"/>
  <c r="Q33" i="2"/>
  <c r="M33" i="2"/>
  <c r="N33" i="2" s="1"/>
  <c r="M30" i="2"/>
  <c r="M29" i="2"/>
  <c r="N28" i="2" s="1"/>
  <c r="M28" i="2"/>
  <c r="M25" i="2"/>
  <c r="M24" i="2"/>
  <c r="M23" i="2"/>
  <c r="N23" i="2" s="1"/>
  <c r="M20" i="2"/>
  <c r="M19" i="2"/>
  <c r="M18" i="2"/>
  <c r="N18" i="2" s="1"/>
  <c r="M15" i="2"/>
  <c r="M14" i="2"/>
  <c r="M13" i="2"/>
  <c r="N13" i="2" s="1"/>
  <c r="C13" i="2"/>
  <c r="M10" i="2"/>
  <c r="M9" i="2"/>
  <c r="M8" i="2"/>
  <c r="N8" i="2" s="1"/>
  <c r="M5" i="2"/>
  <c r="M4" i="2"/>
  <c r="N3" i="2"/>
  <c r="M3" i="2"/>
  <c r="L50" i="1"/>
  <c r="L49" i="1"/>
  <c r="L48" i="1"/>
  <c r="M48" i="1" s="1"/>
  <c r="L45" i="1"/>
  <c r="L44" i="1"/>
  <c r="M43" i="1"/>
  <c r="L43" i="1"/>
  <c r="L40" i="1"/>
  <c r="L39" i="1"/>
  <c r="L38" i="1"/>
  <c r="M38" i="1" s="1"/>
  <c r="L35" i="1"/>
  <c r="L34" i="1"/>
  <c r="M33" i="1"/>
  <c r="L33" i="1"/>
  <c r="L30" i="1"/>
  <c r="L29" i="1"/>
  <c r="P28" i="1"/>
  <c r="L28" i="1"/>
  <c r="M28" i="1" s="1"/>
  <c r="L25" i="1"/>
  <c r="M24" i="1"/>
  <c r="L24" i="1"/>
  <c r="L21" i="1"/>
  <c r="L20" i="1"/>
  <c r="M20" i="1" s="1"/>
  <c r="L17" i="1"/>
  <c r="L16" i="1"/>
  <c r="M16" i="1" s="1"/>
  <c r="L13" i="1"/>
  <c r="L12" i="1"/>
  <c r="M12" i="1" s="1"/>
  <c r="L9" i="1"/>
  <c r="L8" i="1"/>
  <c r="M8" i="1" s="1"/>
  <c r="L4" i="1"/>
  <c r="L3" i="1"/>
  <c r="M3" i="1" s="1"/>
</calcChain>
</file>

<file path=xl/sharedStrings.xml><?xml version="1.0" encoding="utf-8"?>
<sst xmlns="http://schemas.openxmlformats.org/spreadsheetml/2006/main" count="1019" uniqueCount="37">
  <si>
    <t>Liquid</t>
  </si>
  <si>
    <t>Real Estate value</t>
  </si>
  <si>
    <t>Mortgage</t>
  </si>
  <si>
    <t>Equitable</t>
  </si>
  <si>
    <t>TDAmeritrade</t>
  </si>
  <si>
    <t>401k</t>
  </si>
  <si>
    <t>ESOP</t>
  </si>
  <si>
    <t>ESPP</t>
  </si>
  <si>
    <t>Vanguard</t>
  </si>
  <si>
    <t>Value</t>
  </si>
  <si>
    <t>N</t>
  </si>
  <si>
    <t>R</t>
  </si>
  <si>
    <t>Income</t>
  </si>
  <si>
    <t>HOA</t>
  </si>
  <si>
    <t>Electricity</t>
  </si>
  <si>
    <t>Water</t>
  </si>
  <si>
    <t>Gas</t>
  </si>
  <si>
    <t>Sewage</t>
  </si>
  <si>
    <t>Car</t>
  </si>
  <si>
    <t>Fuel</t>
  </si>
  <si>
    <t>Groceries</t>
  </si>
  <si>
    <t>NR</t>
  </si>
  <si>
    <t>Term Life</t>
  </si>
  <si>
    <t>Gov bonds</t>
  </si>
  <si>
    <t>Disability</t>
  </si>
  <si>
    <t>Gov Bonds</t>
  </si>
  <si>
    <t>HSA</t>
  </si>
  <si>
    <t>I 529</t>
  </si>
  <si>
    <t>Nanny</t>
  </si>
  <si>
    <t>Isai 529</t>
  </si>
  <si>
    <t>Amex Savings</t>
  </si>
  <si>
    <t>WA Real Estate value</t>
  </si>
  <si>
    <t>WA Mortgage</t>
  </si>
  <si>
    <t>NC Real Estate value</t>
  </si>
  <si>
    <t>NC Mortgage</t>
  </si>
  <si>
    <t>Daycare</t>
  </si>
  <si>
    <t>Net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</si>
</sst>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#,##0.00"/>
    <numFmt numFmtId="165" formatCode="#,##0.00;\(#,##0.00\)"/>
    <numFmt numFmtId="166" formatCode="&quot;$&quot;#,##0.00"/>
  </numFmts>
  <fonts count="14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rgb="FF7030A0"/>
      <name val="Calibri"/>
    </font>
    <font>
      <b/>
      <sz val="11"/>
      <color theme="1"/>
      <name val="Calibri"/>
    </font>
    <font>
      <b/>
      <sz val="11"/>
      <color rgb="FF00B050"/>
      <name val="Calibri"/>
    </font>
    <font>
      <sz val="11"/>
      <color theme="1"/>
      <name val="Calibri"/>
    </font>
    <font>
      <sz val="11"/>
      <color rgb="FFFF0000"/>
      <name val="Calibri"/>
    </font>
    <font>
      <b/>
      <sz val="12"/>
      <color rgb="FF00B050"/>
      <name val="Calibri"/>
    </font>
    <font>
      <sz val="11"/>
      <color rgb="FF7030A0"/>
      <name val="Calibri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b/>
      <sz val="11"/>
      <color rgb="FF292D36"/>
      <name val="Calibri"/>
    </font>
    <font>
      <b/>
      <sz val="11"/>
      <color rgb="FF000000"/>
      <name val="Calibri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  <xf numFmtId="4" fontId="6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wrapText="1"/>
    </xf>
    <xf numFmtId="4" fontId="2" fillId="2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wrapText="1"/>
    </xf>
    <xf numFmtId="164" fontId="1" fillId="2" borderId="1" xfId="0" applyNumberFormat="1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4" fontId="4" fillId="2" borderId="2" xfId="0" applyNumberFormat="1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 wrapText="1"/>
    </xf>
    <xf numFmtId="4" fontId="4" fillId="2" borderId="1" xfId="0" applyNumberFormat="1" applyFont="1" applyFill="1" applyBorder="1" applyAlignment="1">
      <alignment horizontal="center"/>
    </xf>
    <xf numFmtId="4" fontId="6" fillId="3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center"/>
    </xf>
    <xf numFmtId="4" fontId="8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/>
    <xf numFmtId="166" fontId="5" fillId="2" borderId="1" xfId="0" applyNumberFormat="1" applyFont="1" applyFill="1" applyBorder="1" applyAlignment="1">
      <alignment horizontal="center"/>
    </xf>
    <xf numFmtId="4" fontId="9" fillId="0" borderId="0" xfId="0" applyNumberFormat="1" applyFont="1"/>
    <xf numFmtId="4" fontId="5" fillId="3" borderId="1" xfId="0" applyNumberFormat="1" applyFont="1" applyFill="1" applyBorder="1" applyAlignment="1">
      <alignment wrapText="1"/>
    </xf>
    <xf numFmtId="4" fontId="5" fillId="3" borderId="1" xfId="0" applyNumberFormat="1" applyFont="1" applyFill="1" applyBorder="1"/>
    <xf numFmtId="164" fontId="5" fillId="3" borderId="1" xfId="0" applyNumberFormat="1" applyFont="1" applyFill="1" applyBorder="1"/>
    <xf numFmtId="0" fontId="10" fillId="0" borderId="0" xfId="0" applyFont="1"/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164" fontId="10" fillId="0" borderId="0" xfId="0" applyNumberFormat="1" applyFont="1"/>
    <xf numFmtId="4" fontId="2" fillId="3" borderId="3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right"/>
    </xf>
    <xf numFmtId="164" fontId="11" fillId="3" borderId="0" xfId="0" applyNumberFormat="1" applyFont="1" applyFill="1" applyAlignment="1">
      <alignment horizontal="center"/>
    </xf>
    <xf numFmtId="4" fontId="1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/>
    <xf numFmtId="164" fontId="13" fillId="0" borderId="0" xfId="0" applyNumberFormat="1" applyFont="1"/>
    <xf numFmtId="4" fontId="10" fillId="0" borderId="0" xfId="0" applyNumberFormat="1" applyFont="1"/>
    <xf numFmtId="4" fontId="4" fillId="2" borderId="1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opLeftCell="A2" zoomScaleNormal="100" workbookViewId="0">
      <selection activeCell="M2" sqref="M2"/>
    </sheetView>
  </sheetViews>
  <sheetFormatPr defaultColWidth="14.42578125" defaultRowHeight="15" customHeight="1" x14ac:dyDescent="0.25"/>
  <cols>
    <col min="1" max="1" width="10" bestFit="1" customWidth="1"/>
    <col min="2" max="2" width="12.5703125" customWidth="1"/>
    <col min="3" max="3" width="11" customWidth="1"/>
    <col min="4" max="4" width="15.85546875" customWidth="1"/>
    <col min="5" max="6" width="11" customWidth="1"/>
    <col min="7" max="7" width="13.42578125" customWidth="1"/>
    <col min="8" max="8" width="11" customWidth="1"/>
    <col min="9" max="9" width="13.5703125" customWidth="1"/>
    <col min="10" max="10" width="12.5703125" customWidth="1"/>
    <col min="11" max="12" width="11" customWidth="1"/>
    <col min="13" max="13" width="14.85546875" bestFit="1" customWidth="1"/>
    <col min="14" max="14" width="12.5703125" customWidth="1"/>
    <col min="15" max="15" width="14.85546875" customWidth="1"/>
    <col min="16" max="16" width="12.5703125" customWidth="1"/>
    <col min="17" max="17" width="14.85546875" customWidth="1"/>
    <col min="18" max="18" width="14" customWidth="1"/>
    <col min="19" max="19" width="14.140625" customWidth="1"/>
    <col min="20" max="28" width="8.7109375" customWidth="1"/>
  </cols>
  <sheetData>
    <row r="1" spans="1:19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 t="s">
        <v>36</v>
      </c>
      <c r="N1" s="3"/>
      <c r="O1" s="3"/>
      <c r="P1" s="3"/>
      <c r="Q1" s="4"/>
      <c r="R1" s="5"/>
      <c r="S1" s="6"/>
    </row>
    <row r="2" spans="1:19" x14ac:dyDescent="0.25">
      <c r="A2" s="7">
        <v>44571</v>
      </c>
      <c r="B2" s="1"/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1" t="s">
        <v>6</v>
      </c>
      <c r="J2" s="8" t="s">
        <v>7</v>
      </c>
      <c r="K2" s="1" t="s">
        <v>8</v>
      </c>
      <c r="L2" s="1" t="s">
        <v>9</v>
      </c>
      <c r="M2" s="8"/>
      <c r="N2" s="8"/>
      <c r="O2" s="8"/>
      <c r="P2" s="8"/>
      <c r="Q2" s="8"/>
      <c r="R2" s="8"/>
      <c r="S2" s="1"/>
    </row>
    <row r="3" spans="1:19" x14ac:dyDescent="0.25">
      <c r="A3" s="1" t="s">
        <v>10</v>
      </c>
      <c r="B3" s="9"/>
      <c r="C3" s="9">
        <v>79208</v>
      </c>
      <c r="D3" s="9">
        <v>730000</v>
      </c>
      <c r="E3" s="10">
        <v>419000</v>
      </c>
      <c r="F3" s="9">
        <v>48305</v>
      </c>
      <c r="G3" s="9">
        <v>37624</v>
      </c>
      <c r="H3" s="9">
        <v>66800</v>
      </c>
      <c r="I3" s="9">
        <v>76589</v>
      </c>
      <c r="J3" s="9">
        <v>2561.2199999999998</v>
      </c>
      <c r="K3" s="12">
        <v>0</v>
      </c>
      <c r="L3" s="12">
        <f>C3+D3-E3+F3+G3+H3+I3+J3</f>
        <v>622087.22</v>
      </c>
      <c r="M3" s="46">
        <f>L3+L4</f>
        <v>640843.68999999994</v>
      </c>
      <c r="N3" s="18"/>
      <c r="O3" s="9"/>
      <c r="P3" s="18"/>
      <c r="Q3" s="18"/>
      <c r="R3" s="4"/>
      <c r="S3" s="18"/>
    </row>
    <row r="4" spans="1:19" x14ac:dyDescent="0.25">
      <c r="A4" s="1" t="s">
        <v>11</v>
      </c>
      <c r="B4" s="5"/>
      <c r="C4" s="20">
        <v>16918</v>
      </c>
      <c r="D4" s="1"/>
      <c r="E4" s="1"/>
      <c r="F4" s="1"/>
      <c r="G4" s="8"/>
      <c r="H4" s="5">
        <v>1838.47</v>
      </c>
      <c r="I4" s="8"/>
      <c r="J4" s="8"/>
      <c r="K4" s="12"/>
      <c r="L4" s="12">
        <f>C4+D4-E4+F4+G4+H4+I4+J4</f>
        <v>18756.47</v>
      </c>
      <c r="M4" s="48"/>
      <c r="N4" s="8"/>
      <c r="O4" s="8"/>
      <c r="P4" s="1"/>
      <c r="Q4" s="8"/>
      <c r="R4" s="8"/>
      <c r="S4" s="1"/>
    </row>
    <row r="5" spans="1:19" ht="15.75" x14ac:dyDescent="0.25">
      <c r="A5" s="1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8"/>
      <c r="R5" s="9"/>
      <c r="S5" s="21"/>
    </row>
    <row r="6" spans="1:19" x14ac:dyDescent="0.25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5"/>
      <c r="S6" s="6"/>
    </row>
    <row r="7" spans="1:19" x14ac:dyDescent="0.25">
      <c r="A7" s="7">
        <v>44627</v>
      </c>
      <c r="B7" s="1"/>
      <c r="C7" s="8" t="s">
        <v>0</v>
      </c>
      <c r="D7" s="8" t="s">
        <v>1</v>
      </c>
      <c r="E7" s="8" t="s">
        <v>2</v>
      </c>
      <c r="F7" s="8" t="s">
        <v>3</v>
      </c>
      <c r="G7" s="8" t="s">
        <v>4</v>
      </c>
      <c r="H7" s="8" t="s">
        <v>5</v>
      </c>
      <c r="I7" s="1" t="s">
        <v>6</v>
      </c>
      <c r="J7" s="8" t="s">
        <v>7</v>
      </c>
      <c r="K7" s="1" t="s">
        <v>8</v>
      </c>
      <c r="L7" s="1" t="s">
        <v>9</v>
      </c>
      <c r="M7" s="8"/>
      <c r="N7" s="8"/>
      <c r="O7" s="8"/>
      <c r="P7" s="8"/>
      <c r="Q7" s="8"/>
      <c r="R7" s="8"/>
      <c r="S7" s="1"/>
    </row>
    <row r="8" spans="1:19" x14ac:dyDescent="0.25">
      <c r="A8" s="1" t="s">
        <v>10</v>
      </c>
      <c r="B8" s="9"/>
      <c r="C8" s="9">
        <v>76014.36</v>
      </c>
      <c r="D8" s="9">
        <v>782325</v>
      </c>
      <c r="E8" s="9">
        <v>418197</v>
      </c>
      <c r="F8" s="9">
        <v>47009.23</v>
      </c>
      <c r="G8" s="9">
        <v>32260.22</v>
      </c>
      <c r="H8" s="9">
        <v>65731.89</v>
      </c>
      <c r="I8" s="22">
        <v>66067</v>
      </c>
      <c r="J8" s="9">
        <v>3565.99</v>
      </c>
      <c r="K8" s="12">
        <v>0</v>
      </c>
      <c r="L8" s="12">
        <f>C8+D8-E8+F8+G8+H8+I8+J8</f>
        <v>654776.68999999994</v>
      </c>
      <c r="M8" s="46">
        <f>L8+L9</f>
        <v>680635.80999999994</v>
      </c>
      <c r="N8" s="18"/>
      <c r="O8" s="9"/>
      <c r="P8" s="18"/>
      <c r="Q8" s="18"/>
      <c r="R8" s="4"/>
      <c r="S8" s="18"/>
    </row>
    <row r="9" spans="1:19" x14ac:dyDescent="0.25">
      <c r="A9" s="1" t="s">
        <v>11</v>
      </c>
      <c r="B9" s="5"/>
      <c r="C9" s="25">
        <v>23000</v>
      </c>
      <c r="D9" s="1"/>
      <c r="E9" s="1"/>
      <c r="F9" s="1"/>
      <c r="G9" s="8"/>
      <c r="H9" s="5">
        <v>2859.12</v>
      </c>
      <c r="I9" s="8"/>
      <c r="J9" s="8"/>
      <c r="K9" s="12"/>
      <c r="L9" s="12">
        <f>C9+D9-E9+F9+G9+H9+I9+J9</f>
        <v>25859.119999999999</v>
      </c>
      <c r="M9" s="48"/>
      <c r="N9" s="8"/>
      <c r="O9" s="8"/>
      <c r="P9" s="1"/>
      <c r="Q9" s="8"/>
      <c r="R9" s="8"/>
      <c r="S9" s="1"/>
    </row>
    <row r="10" spans="1:19" x14ac:dyDescent="0.25">
      <c r="A10" s="1"/>
      <c r="B10" s="12"/>
      <c r="C10" s="9"/>
      <c r="D10" s="9"/>
      <c r="E10" s="9"/>
      <c r="F10" s="9"/>
      <c r="G10" s="9"/>
      <c r="H10" s="9"/>
      <c r="I10" s="9"/>
      <c r="J10" s="9"/>
      <c r="K10" s="12"/>
      <c r="L10" s="12"/>
      <c r="M10" s="46"/>
      <c r="N10" s="9"/>
      <c r="O10" s="9"/>
      <c r="P10" s="9"/>
      <c r="Q10" s="18"/>
      <c r="R10" s="9"/>
      <c r="S10" s="18"/>
    </row>
    <row r="11" spans="1:19" x14ac:dyDescent="0.25">
      <c r="A11" s="7">
        <v>44652</v>
      </c>
      <c r="B11" s="2"/>
      <c r="C11" s="8" t="s">
        <v>0</v>
      </c>
      <c r="D11" s="8" t="s">
        <v>1</v>
      </c>
      <c r="E11" s="8" t="s">
        <v>2</v>
      </c>
      <c r="F11" s="8" t="s">
        <v>3</v>
      </c>
      <c r="G11" s="8" t="s">
        <v>4</v>
      </c>
      <c r="H11" s="8" t="s">
        <v>5</v>
      </c>
      <c r="I11" s="1" t="s">
        <v>6</v>
      </c>
      <c r="J11" s="8" t="s">
        <v>7</v>
      </c>
      <c r="K11" s="1" t="s">
        <v>8</v>
      </c>
      <c r="L11" s="1" t="s">
        <v>9</v>
      </c>
      <c r="M11" s="48"/>
      <c r="N11" s="3"/>
      <c r="O11" s="3"/>
      <c r="P11" s="3"/>
      <c r="Q11" s="4"/>
      <c r="R11" s="5"/>
      <c r="S11" s="6"/>
    </row>
    <row r="12" spans="1:19" x14ac:dyDescent="0.25">
      <c r="A12" s="1" t="s">
        <v>10</v>
      </c>
      <c r="B12" s="2"/>
      <c r="C12" s="3">
        <v>75750.2</v>
      </c>
      <c r="D12" s="3">
        <v>807167</v>
      </c>
      <c r="E12" s="3">
        <v>417701.25</v>
      </c>
      <c r="F12" s="3">
        <v>48358.48</v>
      </c>
      <c r="G12" s="3">
        <v>40423.69</v>
      </c>
      <c r="H12" s="3">
        <v>68165.75</v>
      </c>
      <c r="I12" s="3">
        <v>66224.88</v>
      </c>
      <c r="J12" s="3">
        <v>3572</v>
      </c>
      <c r="K12" s="12">
        <v>0</v>
      </c>
      <c r="L12" s="12">
        <f>C12+D12-E12+F12+G12+H12+I12+J12</f>
        <v>691960.74999999988</v>
      </c>
      <c r="M12" s="46">
        <f>L12+L13</f>
        <v>724452.20999999985</v>
      </c>
      <c r="N12" s="3"/>
      <c r="O12" s="3"/>
      <c r="P12" s="3"/>
      <c r="Q12" s="4"/>
    </row>
    <row r="13" spans="1:19" x14ac:dyDescent="0.25">
      <c r="A13" s="1" t="s">
        <v>11</v>
      </c>
      <c r="B13" s="2"/>
      <c r="C13" s="3">
        <v>29134.77</v>
      </c>
      <c r="D13" s="3"/>
      <c r="E13" s="3"/>
      <c r="F13" s="3"/>
      <c r="G13" s="3"/>
      <c r="H13" s="3">
        <v>3356.69</v>
      </c>
      <c r="I13" s="3"/>
      <c r="J13" s="3"/>
      <c r="K13" s="12"/>
      <c r="L13" s="12">
        <f>C13+D13-E13+F13+G13+H13+I13+J13</f>
        <v>32491.46</v>
      </c>
      <c r="M13" s="48"/>
      <c r="N13" s="3"/>
      <c r="O13" s="3"/>
      <c r="P13" s="3"/>
      <c r="Q13" s="4"/>
    </row>
    <row r="14" spans="1:19" x14ac:dyDescent="0.25">
      <c r="A14" s="1"/>
      <c r="B14" s="12"/>
      <c r="C14" s="9"/>
      <c r="D14" s="9"/>
      <c r="E14" s="9"/>
      <c r="F14" s="9"/>
      <c r="G14" s="9"/>
      <c r="H14" s="9"/>
      <c r="I14" s="9"/>
      <c r="J14" s="9"/>
      <c r="K14" s="12"/>
      <c r="L14" s="12"/>
      <c r="M14" s="46"/>
    </row>
    <row r="15" spans="1:19" x14ac:dyDescent="0.25">
      <c r="A15" s="7">
        <v>44682</v>
      </c>
      <c r="B15" s="2"/>
      <c r="C15" s="8" t="s">
        <v>0</v>
      </c>
      <c r="D15" s="8" t="s">
        <v>1</v>
      </c>
      <c r="E15" s="8" t="s">
        <v>2</v>
      </c>
      <c r="F15" s="8" t="s">
        <v>3</v>
      </c>
      <c r="G15" s="8" t="s">
        <v>4</v>
      </c>
      <c r="H15" s="8" t="s">
        <v>5</v>
      </c>
      <c r="I15" s="1" t="s">
        <v>6</v>
      </c>
      <c r="J15" s="8" t="s">
        <v>7</v>
      </c>
      <c r="K15" s="1" t="s">
        <v>8</v>
      </c>
      <c r="L15" s="1" t="s">
        <v>9</v>
      </c>
      <c r="M15" s="48"/>
    </row>
    <row r="16" spans="1:19" x14ac:dyDescent="0.25">
      <c r="A16" s="1" t="s">
        <v>10</v>
      </c>
      <c r="B16" s="2"/>
      <c r="C16" s="3">
        <v>75551.53</v>
      </c>
      <c r="D16" s="3">
        <v>835164</v>
      </c>
      <c r="E16" s="3">
        <v>416462.49</v>
      </c>
      <c r="F16" s="3">
        <v>44177.67</v>
      </c>
      <c r="G16" s="3">
        <v>32524.87</v>
      </c>
      <c r="H16" s="3">
        <v>66151.87</v>
      </c>
      <c r="I16" s="3">
        <v>60533</v>
      </c>
      <c r="J16" s="3">
        <v>3265</v>
      </c>
      <c r="K16" s="12">
        <v>4578.25</v>
      </c>
      <c r="L16" s="12">
        <f>C16+D16-E16+F16+G16+H16+I16+J16+K16</f>
        <v>705483.70000000007</v>
      </c>
      <c r="M16" s="46">
        <f>L16+L17</f>
        <v>736987.43</v>
      </c>
    </row>
    <row r="17" spans="1:16" x14ac:dyDescent="0.25">
      <c r="A17" s="1" t="s">
        <v>11</v>
      </c>
      <c r="B17" s="2"/>
      <c r="C17" s="3">
        <v>27700</v>
      </c>
      <c r="D17" s="3"/>
      <c r="E17" s="3"/>
      <c r="F17" s="3"/>
      <c r="G17" s="3"/>
      <c r="H17" s="3">
        <v>3803.73</v>
      </c>
      <c r="I17" s="3"/>
      <c r="J17" s="3"/>
      <c r="K17" s="12"/>
      <c r="L17" s="12">
        <f>C17+D17-E17+F17+G17+H17+I17+J17+K17</f>
        <v>31503.73</v>
      </c>
      <c r="M17" s="48"/>
    </row>
    <row r="18" spans="1:16" x14ac:dyDescent="0.25">
      <c r="A18" s="1"/>
      <c r="B18" s="12"/>
      <c r="C18" s="9"/>
      <c r="D18" s="9"/>
      <c r="E18" s="9"/>
      <c r="F18" s="9"/>
      <c r="G18" s="9"/>
      <c r="H18" s="9"/>
      <c r="I18" s="9"/>
      <c r="J18" s="9"/>
      <c r="K18" s="12"/>
      <c r="L18" s="12"/>
      <c r="M18" s="46"/>
      <c r="O18" s="30" t="s">
        <v>12</v>
      </c>
      <c r="P18" s="30">
        <v>7014</v>
      </c>
    </row>
    <row r="19" spans="1:16" x14ac:dyDescent="0.25">
      <c r="A19" s="7">
        <v>44725</v>
      </c>
      <c r="B19" s="2"/>
      <c r="C19" s="8" t="s">
        <v>0</v>
      </c>
      <c r="D19" s="8" t="s">
        <v>1</v>
      </c>
      <c r="E19" s="8" t="s">
        <v>2</v>
      </c>
      <c r="F19" s="8" t="s">
        <v>3</v>
      </c>
      <c r="G19" s="8" t="s">
        <v>4</v>
      </c>
      <c r="H19" s="8" t="s">
        <v>5</v>
      </c>
      <c r="I19" s="1" t="s">
        <v>6</v>
      </c>
      <c r="J19" s="8" t="s">
        <v>7</v>
      </c>
      <c r="K19" s="1" t="s">
        <v>8</v>
      </c>
      <c r="L19" s="1" t="s">
        <v>9</v>
      </c>
      <c r="M19" s="48"/>
      <c r="O19" s="30" t="s">
        <v>2</v>
      </c>
      <c r="P19" s="30">
        <v>-2578.0300000000002</v>
      </c>
    </row>
    <row r="20" spans="1:16" x14ac:dyDescent="0.25">
      <c r="A20" s="1" t="s">
        <v>10</v>
      </c>
      <c r="B20" s="2"/>
      <c r="C20" s="3">
        <v>64702.26</v>
      </c>
      <c r="D20" s="3">
        <v>852024</v>
      </c>
      <c r="E20" s="3">
        <v>414719.64</v>
      </c>
      <c r="F20" s="3">
        <v>42255.42</v>
      </c>
      <c r="G20" s="3">
        <v>26502.89</v>
      </c>
      <c r="H20" s="3">
        <v>66640.47</v>
      </c>
      <c r="I20" s="3">
        <v>48130</v>
      </c>
      <c r="J20" s="3">
        <v>2596</v>
      </c>
      <c r="K20" s="12">
        <v>4150.76</v>
      </c>
      <c r="L20" s="12">
        <f>C20+D20-E20+F20+G20+H20+I20+J20+K20</f>
        <v>692282.16</v>
      </c>
      <c r="M20" s="46">
        <f>L20+L21</f>
        <v>724162.57000000007</v>
      </c>
      <c r="O20" s="30" t="s">
        <v>13</v>
      </c>
      <c r="P20" s="30">
        <v>-46</v>
      </c>
    </row>
    <row r="21" spans="1:16" ht="15.75" customHeight="1" x14ac:dyDescent="0.25">
      <c r="A21" s="1" t="s">
        <v>11</v>
      </c>
      <c r="B21" s="2"/>
      <c r="C21" s="3">
        <v>27188.39</v>
      </c>
      <c r="D21" s="3"/>
      <c r="E21" s="3"/>
      <c r="F21" s="3"/>
      <c r="G21" s="3"/>
      <c r="H21" s="3">
        <v>4692.0200000000004</v>
      </c>
      <c r="I21" s="3"/>
      <c r="J21" s="3"/>
      <c r="K21" s="12"/>
      <c r="L21" s="12">
        <f>C21+D21-E21+F21+G21+H21+I21+J21+K21</f>
        <v>31880.41</v>
      </c>
      <c r="M21" s="48"/>
      <c r="O21" s="30" t="s">
        <v>14</v>
      </c>
      <c r="P21" s="30">
        <v>-50</v>
      </c>
    </row>
    <row r="22" spans="1:16" ht="15.75" customHeight="1" x14ac:dyDescent="0.25">
      <c r="A22" s="1"/>
      <c r="B22" s="12"/>
      <c r="C22" s="9"/>
      <c r="D22" s="9"/>
      <c r="E22" s="9"/>
      <c r="F22" s="9"/>
      <c r="G22" s="9"/>
      <c r="H22" s="9"/>
      <c r="I22" s="9"/>
      <c r="J22" s="9"/>
      <c r="K22" s="12"/>
      <c r="L22" s="12"/>
      <c r="M22" s="46"/>
      <c r="O22" s="30" t="s">
        <v>15</v>
      </c>
      <c r="P22" s="30">
        <v>-100</v>
      </c>
    </row>
    <row r="23" spans="1:16" ht="15.75" customHeight="1" x14ac:dyDescent="0.25">
      <c r="A23" s="7">
        <v>44775</v>
      </c>
      <c r="B23" s="2"/>
      <c r="C23" s="8" t="s">
        <v>0</v>
      </c>
      <c r="D23" s="8" t="s">
        <v>1</v>
      </c>
      <c r="E23" s="8" t="s">
        <v>2</v>
      </c>
      <c r="F23" s="8" t="s">
        <v>3</v>
      </c>
      <c r="G23" s="8" t="s">
        <v>4</v>
      </c>
      <c r="H23" s="8" t="s">
        <v>5</v>
      </c>
      <c r="I23" s="1" t="s">
        <v>6</v>
      </c>
      <c r="J23" s="8" t="s">
        <v>7</v>
      </c>
      <c r="K23" s="1" t="s">
        <v>8</v>
      </c>
      <c r="L23" s="1" t="s">
        <v>9</v>
      </c>
      <c r="M23" s="48"/>
      <c r="O23" s="30" t="s">
        <v>16</v>
      </c>
      <c r="P23" s="30">
        <v>-40</v>
      </c>
    </row>
    <row r="24" spans="1:16" ht="15.75" customHeight="1" x14ac:dyDescent="0.25">
      <c r="A24" s="1" t="s">
        <v>10</v>
      </c>
      <c r="B24" s="2"/>
      <c r="C24" s="3">
        <v>73845.58</v>
      </c>
      <c r="D24" s="3">
        <v>833228</v>
      </c>
      <c r="E24" s="3">
        <v>412968</v>
      </c>
      <c r="F24" s="3">
        <v>43037.64</v>
      </c>
      <c r="G24" s="3">
        <v>32889.4</v>
      </c>
      <c r="H24" s="3">
        <v>74103.62</v>
      </c>
      <c r="I24" s="3">
        <v>59748.800000000003</v>
      </c>
      <c r="J24" s="3">
        <v>4432.29</v>
      </c>
      <c r="K24" s="12">
        <v>4640.97</v>
      </c>
      <c r="L24" s="12">
        <f>C24+D24-E24+F24+G24+H24+I24+J24+K24</f>
        <v>712958.3</v>
      </c>
      <c r="M24" s="46">
        <f>L24+L25</f>
        <v>754041.39</v>
      </c>
      <c r="O24" s="30" t="s">
        <v>17</v>
      </c>
      <c r="P24" s="30">
        <v>-70</v>
      </c>
    </row>
    <row r="25" spans="1:16" ht="15.75" customHeight="1" x14ac:dyDescent="0.25">
      <c r="A25" s="1" t="s">
        <v>11</v>
      </c>
      <c r="B25" s="2"/>
      <c r="C25" s="3">
        <v>34945.81</v>
      </c>
      <c r="D25" s="3"/>
      <c r="E25" s="3"/>
      <c r="F25" s="3"/>
      <c r="G25" s="3"/>
      <c r="H25" s="3">
        <v>6137.28</v>
      </c>
      <c r="I25" s="3"/>
      <c r="J25" s="3"/>
      <c r="K25" s="12"/>
      <c r="L25" s="12">
        <f>C25+D25-E25+F25+G25+H25+I25+J25+K25</f>
        <v>41083.089999999997</v>
      </c>
      <c r="M25" s="48"/>
      <c r="O25" s="30" t="s">
        <v>18</v>
      </c>
      <c r="P25" s="30">
        <v>-551</v>
      </c>
    </row>
    <row r="26" spans="1:16" ht="15.75" customHeight="1" x14ac:dyDescent="0.25">
      <c r="A26" s="1"/>
      <c r="B26" s="12"/>
      <c r="C26" s="9"/>
      <c r="D26" s="9"/>
      <c r="E26" s="9"/>
      <c r="F26" s="9"/>
      <c r="G26" s="9"/>
      <c r="H26" s="9"/>
      <c r="I26" s="9"/>
      <c r="J26" s="9"/>
      <c r="K26" s="12"/>
      <c r="L26" s="12"/>
      <c r="M26" s="46"/>
      <c r="O26" s="30" t="s">
        <v>19</v>
      </c>
      <c r="P26" s="30">
        <v>-150</v>
      </c>
    </row>
    <row r="27" spans="1:16" ht="15.75" customHeight="1" x14ac:dyDescent="0.25">
      <c r="A27" s="7">
        <v>44794</v>
      </c>
      <c r="B27" s="2"/>
      <c r="C27" s="8" t="s">
        <v>0</v>
      </c>
      <c r="D27" s="8" t="s">
        <v>1</v>
      </c>
      <c r="E27" s="8" t="s">
        <v>2</v>
      </c>
      <c r="F27" s="8" t="s">
        <v>3</v>
      </c>
      <c r="G27" s="8" t="s">
        <v>4</v>
      </c>
      <c r="H27" s="8" t="s">
        <v>5</v>
      </c>
      <c r="I27" s="1" t="s">
        <v>6</v>
      </c>
      <c r="J27" s="8" t="s">
        <v>7</v>
      </c>
      <c r="K27" s="1" t="s">
        <v>8</v>
      </c>
      <c r="L27" s="1" t="s">
        <v>9</v>
      </c>
      <c r="M27" s="48"/>
      <c r="O27" s="30" t="s">
        <v>20</v>
      </c>
      <c r="P27" s="30">
        <v>-550</v>
      </c>
    </row>
    <row r="28" spans="1:16" ht="15.75" customHeight="1" x14ac:dyDescent="0.25">
      <c r="A28" s="1" t="s">
        <v>10</v>
      </c>
      <c r="B28" s="2"/>
      <c r="C28" s="3">
        <v>40235.4</v>
      </c>
      <c r="D28" s="3">
        <v>833228</v>
      </c>
      <c r="E28" s="3">
        <v>412968</v>
      </c>
      <c r="F28" s="3">
        <v>43037.64</v>
      </c>
      <c r="G28" s="3">
        <v>32889.4</v>
      </c>
      <c r="H28" s="3">
        <v>74103.62</v>
      </c>
      <c r="I28" s="3">
        <v>59748.800000000003</v>
      </c>
      <c r="J28" s="3">
        <v>4432.29</v>
      </c>
      <c r="K28" s="12">
        <v>4640.97</v>
      </c>
      <c r="L28" s="12">
        <f>C28+D28-E28+F28+G28+H28+I28+J28+K28</f>
        <v>679348.12000000011</v>
      </c>
      <c r="M28" s="46">
        <f>L28+L29+L30</f>
        <v>754990.81</v>
      </c>
      <c r="P28" s="30">
        <f>SUM(P18:P27)</f>
        <v>2878.9699999999993</v>
      </c>
    </row>
    <row r="29" spans="1:16" ht="15.75" customHeight="1" x14ac:dyDescent="0.25">
      <c r="A29" s="1" t="s">
        <v>11</v>
      </c>
      <c r="B29" s="2"/>
      <c r="C29" s="3">
        <v>4000.41</v>
      </c>
      <c r="D29" s="3"/>
      <c r="E29" s="3"/>
      <c r="F29" s="3"/>
      <c r="G29" s="3"/>
      <c r="H29" s="3">
        <v>6137.28</v>
      </c>
      <c r="I29" s="3"/>
      <c r="J29" s="3"/>
      <c r="K29" s="12"/>
      <c r="L29" s="12">
        <f>C29+D29-E29+F29+G29+H29+I29+J29+K29</f>
        <v>10137.689999999999</v>
      </c>
      <c r="M29" s="47"/>
    </row>
    <row r="30" spans="1:16" ht="15.75" customHeight="1" x14ac:dyDescent="0.25">
      <c r="A30" s="1" t="s">
        <v>21</v>
      </c>
      <c r="B30" s="2"/>
      <c r="C30" s="3">
        <v>65505</v>
      </c>
      <c r="D30" s="3"/>
      <c r="E30" s="3"/>
      <c r="F30" s="3"/>
      <c r="G30" s="3"/>
      <c r="H30" s="3"/>
      <c r="I30" s="3"/>
      <c r="J30" s="3"/>
      <c r="K30" s="12"/>
      <c r="L30" s="12">
        <f>C30+D30-E30+F30+G30+H30+I30+J30+K30</f>
        <v>65505</v>
      </c>
      <c r="M30" s="48"/>
    </row>
    <row r="31" spans="1:16" ht="15.75" customHeight="1" x14ac:dyDescent="0.25">
      <c r="A31" s="1"/>
      <c r="B31" s="12"/>
      <c r="C31" s="9"/>
      <c r="D31" s="9"/>
      <c r="E31" s="9"/>
      <c r="F31" s="9"/>
      <c r="G31" s="9"/>
      <c r="H31" s="9"/>
      <c r="I31" s="9"/>
      <c r="J31" s="9"/>
      <c r="K31" s="12"/>
      <c r="L31" s="12"/>
      <c r="M31" s="46"/>
    </row>
    <row r="32" spans="1:16" ht="15.75" customHeight="1" x14ac:dyDescent="0.25">
      <c r="A32" s="7">
        <v>44805</v>
      </c>
      <c r="B32" s="2"/>
      <c r="C32" s="8" t="s">
        <v>0</v>
      </c>
      <c r="D32" s="8" t="s">
        <v>1</v>
      </c>
      <c r="E32" s="8" t="s">
        <v>2</v>
      </c>
      <c r="F32" s="8" t="s">
        <v>3</v>
      </c>
      <c r="G32" s="8" t="s">
        <v>4</v>
      </c>
      <c r="H32" s="8" t="s">
        <v>5</v>
      </c>
      <c r="I32" s="1" t="s">
        <v>6</v>
      </c>
      <c r="J32" s="8" t="s">
        <v>7</v>
      </c>
      <c r="K32" s="1" t="s">
        <v>8</v>
      </c>
      <c r="L32" s="1" t="s">
        <v>9</v>
      </c>
      <c r="M32" s="48"/>
    </row>
    <row r="33" spans="1:13" ht="15.75" customHeight="1" x14ac:dyDescent="0.25">
      <c r="A33" s="1" t="s">
        <v>10</v>
      </c>
      <c r="B33" s="2"/>
      <c r="C33" s="3">
        <v>32901.97</v>
      </c>
      <c r="D33" s="3">
        <v>821928</v>
      </c>
      <c r="E33" s="3">
        <v>412968</v>
      </c>
      <c r="F33" s="3">
        <v>42905.52</v>
      </c>
      <c r="G33" s="3">
        <v>32067.94</v>
      </c>
      <c r="H33" s="3">
        <v>74071.14</v>
      </c>
      <c r="I33" s="3">
        <v>53788.9</v>
      </c>
      <c r="J33" s="3">
        <v>3971.33</v>
      </c>
      <c r="K33" s="12">
        <v>13465.57</v>
      </c>
      <c r="L33" s="12">
        <f>C33+D33-E33+F33+G33+H33+I33+J33+K33</f>
        <v>662132.36999999988</v>
      </c>
      <c r="M33" s="46">
        <f>L33+L34+L35</f>
        <v>736776.34999999986</v>
      </c>
    </row>
    <row r="34" spans="1:13" ht="15.75" customHeight="1" x14ac:dyDescent="0.25">
      <c r="A34" s="1" t="s">
        <v>11</v>
      </c>
      <c r="B34" s="2"/>
      <c r="C34" s="3">
        <v>4301.09</v>
      </c>
      <c r="D34" s="3"/>
      <c r="E34" s="3"/>
      <c r="F34" s="3"/>
      <c r="G34" s="3"/>
      <c r="H34" s="3">
        <v>6837.1</v>
      </c>
      <c r="I34" s="3"/>
      <c r="J34" s="3"/>
      <c r="K34" s="12"/>
      <c r="L34" s="12">
        <f>C34+D34-E34+F34+G34+H34+I34+J34+K34</f>
        <v>11138.19</v>
      </c>
      <c r="M34" s="47"/>
    </row>
    <row r="35" spans="1:13" ht="15.75" customHeight="1" x14ac:dyDescent="0.25">
      <c r="A35" s="1" t="s">
        <v>21</v>
      </c>
      <c r="B35" s="2"/>
      <c r="C35" s="3">
        <v>63505.79</v>
      </c>
      <c r="D35" s="3"/>
      <c r="E35" s="3"/>
      <c r="F35" s="3"/>
      <c r="G35" s="3"/>
      <c r="H35" s="3"/>
      <c r="I35" s="3"/>
      <c r="J35" s="3"/>
      <c r="K35" s="12"/>
      <c r="L35" s="12">
        <f>C35+D35-E35+F35+G35+H35+I35+J35+K35</f>
        <v>63505.79</v>
      </c>
      <c r="M35" s="48"/>
    </row>
    <row r="36" spans="1:13" ht="15.75" customHeight="1" x14ac:dyDescent="0.25">
      <c r="A36" s="1"/>
      <c r="B36" s="12"/>
      <c r="C36" s="9"/>
      <c r="D36" s="9"/>
      <c r="E36" s="9"/>
      <c r="F36" s="9"/>
      <c r="G36" s="9"/>
      <c r="H36" s="9"/>
      <c r="I36" s="9"/>
      <c r="J36" s="9"/>
      <c r="K36" s="12"/>
      <c r="L36" s="12"/>
      <c r="M36" s="46"/>
    </row>
    <row r="37" spans="1:13" ht="15.75" customHeight="1" x14ac:dyDescent="0.25">
      <c r="A37" s="7">
        <v>44835</v>
      </c>
      <c r="B37" s="2"/>
      <c r="C37" s="8" t="s">
        <v>0</v>
      </c>
      <c r="D37" s="8" t="s">
        <v>1</v>
      </c>
      <c r="E37" s="8" t="s">
        <v>2</v>
      </c>
      <c r="F37" s="8" t="s">
        <v>3</v>
      </c>
      <c r="G37" s="8" t="s">
        <v>4</v>
      </c>
      <c r="H37" s="8" t="s">
        <v>5</v>
      </c>
      <c r="I37" s="1" t="s">
        <v>6</v>
      </c>
      <c r="J37" s="8" t="s">
        <v>7</v>
      </c>
      <c r="K37" s="1" t="s">
        <v>8</v>
      </c>
      <c r="L37" s="1" t="s">
        <v>9</v>
      </c>
      <c r="M37" s="48"/>
    </row>
    <row r="38" spans="1:13" ht="15.75" customHeight="1" x14ac:dyDescent="0.25">
      <c r="A38" s="1" t="s">
        <v>10</v>
      </c>
      <c r="B38" s="2"/>
      <c r="C38" s="3">
        <v>28933.07</v>
      </c>
      <c r="D38" s="3">
        <v>816093.5</v>
      </c>
      <c r="E38" s="3">
        <v>411990.37</v>
      </c>
      <c r="F38" s="3">
        <v>38797.46</v>
      </c>
      <c r="G38" s="3">
        <v>30511.05</v>
      </c>
      <c r="H38" s="3">
        <v>69547.58</v>
      </c>
      <c r="I38" s="3">
        <v>49648</v>
      </c>
      <c r="J38" s="3">
        <v>3666.39</v>
      </c>
      <c r="K38" s="12">
        <v>13078.67</v>
      </c>
      <c r="L38" s="12">
        <f>C38+D38-E38+F38+G38+H38+I38+J38+K38</f>
        <v>638285.35</v>
      </c>
      <c r="M38" s="46">
        <f>L38+L39+L40</f>
        <v>722192.24</v>
      </c>
    </row>
    <row r="39" spans="1:13" ht="15.75" customHeight="1" x14ac:dyDescent="0.25">
      <c r="A39" s="1" t="s">
        <v>11</v>
      </c>
      <c r="B39" s="2"/>
      <c r="C39" s="3">
        <v>8804.06</v>
      </c>
      <c r="D39" s="3"/>
      <c r="E39" s="3"/>
      <c r="F39" s="3"/>
      <c r="G39" s="3"/>
      <c r="H39" s="3">
        <v>7095.45</v>
      </c>
      <c r="I39" s="3"/>
      <c r="J39" s="3"/>
      <c r="K39" s="12"/>
      <c r="L39" s="12">
        <f>C39+D39-E39+F39+G39+H39+I39+J39+K39</f>
        <v>15899.509999999998</v>
      </c>
      <c r="M39" s="47"/>
    </row>
    <row r="40" spans="1:13" ht="15.75" customHeight="1" x14ac:dyDescent="0.25">
      <c r="A40" s="1" t="s">
        <v>21</v>
      </c>
      <c r="B40" s="2"/>
      <c r="C40" s="3">
        <v>68007.38</v>
      </c>
      <c r="D40" s="3"/>
      <c r="E40" s="3"/>
      <c r="F40" s="3"/>
      <c r="G40" s="3"/>
      <c r="H40" s="3"/>
      <c r="I40" s="3"/>
      <c r="J40" s="3"/>
      <c r="K40" s="12"/>
      <c r="L40" s="12">
        <f>C40+D40-E40+F40+G40+H40+I40+J40+K40</f>
        <v>68007.38</v>
      </c>
      <c r="M40" s="48"/>
    </row>
    <row r="41" spans="1:13" ht="15.75" customHeight="1" x14ac:dyDescent="0.25">
      <c r="A41" s="1"/>
      <c r="B41" s="12"/>
      <c r="C41" s="9"/>
      <c r="D41" s="9"/>
      <c r="E41" s="9"/>
      <c r="F41" s="9"/>
      <c r="G41" s="9"/>
      <c r="H41" s="9"/>
      <c r="I41" s="9"/>
      <c r="J41" s="9"/>
      <c r="K41" s="12"/>
      <c r="L41" s="12"/>
      <c r="M41" s="46"/>
    </row>
    <row r="42" spans="1:13" ht="15.75" customHeight="1" x14ac:dyDescent="0.25">
      <c r="A42" s="7">
        <v>44869</v>
      </c>
      <c r="B42" s="2"/>
      <c r="C42" s="8" t="s">
        <v>0</v>
      </c>
      <c r="D42" s="8" t="s">
        <v>1</v>
      </c>
      <c r="E42" s="8" t="s">
        <v>2</v>
      </c>
      <c r="F42" s="8" t="s">
        <v>3</v>
      </c>
      <c r="G42" s="8" t="s">
        <v>4</v>
      </c>
      <c r="H42" s="8" t="s">
        <v>5</v>
      </c>
      <c r="I42" s="1" t="s">
        <v>6</v>
      </c>
      <c r="J42" s="8" t="s">
        <v>7</v>
      </c>
      <c r="K42" s="1" t="s">
        <v>8</v>
      </c>
      <c r="L42" s="1" t="s">
        <v>9</v>
      </c>
      <c r="M42" s="48"/>
    </row>
    <row r="43" spans="1:13" ht="15.75" customHeight="1" x14ac:dyDescent="0.25">
      <c r="A43" s="1" t="s">
        <v>10</v>
      </c>
      <c r="B43" s="2"/>
      <c r="C43" s="3">
        <v>20437.599999999999</v>
      </c>
      <c r="D43" s="3">
        <v>814649</v>
      </c>
      <c r="E43" s="3">
        <v>410026.77</v>
      </c>
      <c r="F43" s="3">
        <v>40189.5</v>
      </c>
      <c r="G43" s="3">
        <v>27261.43</v>
      </c>
      <c r="H43" s="3">
        <v>75825.240000000005</v>
      </c>
      <c r="I43" s="3">
        <v>54794.7</v>
      </c>
      <c r="J43" s="3">
        <v>4045.59</v>
      </c>
      <c r="K43" s="12">
        <v>13138.34</v>
      </c>
      <c r="L43" s="12">
        <f>C43+D43-E43+F43+G43+H43+I43+J43+K43</f>
        <v>640314.62999999989</v>
      </c>
      <c r="M43" s="46">
        <f>L43+L44+L45</f>
        <v>714149.30999999982</v>
      </c>
    </row>
    <row r="44" spans="1:13" ht="15.75" customHeight="1" x14ac:dyDescent="0.25">
      <c r="A44" s="1" t="s">
        <v>11</v>
      </c>
      <c r="B44" s="2"/>
      <c r="C44" s="3">
        <v>1817.03</v>
      </c>
      <c r="D44" s="3"/>
      <c r="E44" s="3"/>
      <c r="F44" s="3"/>
      <c r="G44" s="3"/>
      <c r="H44" s="3">
        <v>8208.67</v>
      </c>
      <c r="I44" s="3"/>
      <c r="J44" s="3"/>
      <c r="K44" s="12"/>
      <c r="L44" s="12">
        <f>C44+D44-E44+F44+G44+H44+I44+J44+K44</f>
        <v>10025.700000000001</v>
      </c>
      <c r="M44" s="47"/>
    </row>
    <row r="45" spans="1:13" ht="15.75" customHeight="1" x14ac:dyDescent="0.25">
      <c r="A45" s="1" t="s">
        <v>21</v>
      </c>
      <c r="B45" s="2"/>
      <c r="C45" s="3">
        <v>63808.98</v>
      </c>
      <c r="D45" s="3"/>
      <c r="E45" s="3"/>
      <c r="F45" s="3"/>
      <c r="G45" s="3"/>
      <c r="H45" s="3"/>
      <c r="I45" s="3"/>
      <c r="J45" s="3"/>
      <c r="K45" s="12"/>
      <c r="L45" s="12">
        <f>C45+D45-E45+F45+G45+H45+I45+J45+K45</f>
        <v>63808.98</v>
      </c>
      <c r="M45" s="48"/>
    </row>
    <row r="46" spans="1:13" ht="15.75" customHeight="1" x14ac:dyDescent="0.25">
      <c r="A46" s="1"/>
      <c r="B46" s="12"/>
      <c r="C46" s="9"/>
      <c r="D46" s="9"/>
      <c r="E46" s="9"/>
      <c r="F46" s="9"/>
      <c r="G46" s="9"/>
      <c r="H46" s="9"/>
      <c r="I46" s="9"/>
      <c r="J46" s="9"/>
      <c r="K46" s="12"/>
      <c r="L46" s="12"/>
      <c r="M46" s="46"/>
    </row>
    <row r="47" spans="1:13" ht="15.75" customHeight="1" x14ac:dyDescent="0.25">
      <c r="A47" s="7">
        <v>44897</v>
      </c>
      <c r="B47" s="2"/>
      <c r="C47" s="8" t="s">
        <v>0</v>
      </c>
      <c r="D47" s="8" t="s">
        <v>1</v>
      </c>
      <c r="E47" s="8" t="s">
        <v>2</v>
      </c>
      <c r="F47" s="8" t="s">
        <v>3</v>
      </c>
      <c r="G47" s="8" t="s">
        <v>4</v>
      </c>
      <c r="H47" s="8" t="s">
        <v>5</v>
      </c>
      <c r="I47" s="1" t="s">
        <v>6</v>
      </c>
      <c r="J47" s="8" t="s">
        <v>7</v>
      </c>
      <c r="K47" s="1" t="s">
        <v>8</v>
      </c>
      <c r="L47" s="1" t="s">
        <v>9</v>
      </c>
      <c r="M47" s="48"/>
    </row>
    <row r="48" spans="1:13" ht="15.75" customHeight="1" x14ac:dyDescent="0.25">
      <c r="A48" s="1" t="s">
        <v>10</v>
      </c>
      <c r="B48" s="2"/>
      <c r="C48" s="3">
        <v>18782.39</v>
      </c>
      <c r="D48" s="3">
        <v>776045</v>
      </c>
      <c r="E48" s="3">
        <v>409041.59</v>
      </c>
      <c r="F48" s="3">
        <v>43870.05</v>
      </c>
      <c r="G48" s="3">
        <v>28324.74</v>
      </c>
      <c r="H48" s="3">
        <v>83630.25</v>
      </c>
      <c r="I48" s="3">
        <v>67131.8</v>
      </c>
      <c r="J48" s="3">
        <v>4956.46</v>
      </c>
      <c r="K48" s="12">
        <v>13533.42</v>
      </c>
      <c r="L48" s="12">
        <f>C48+D48-E48+F48+G48+H48+I48+J48+K48</f>
        <v>627232.52</v>
      </c>
      <c r="M48" s="46">
        <f>L48+L49+L50</f>
        <v>710639.46000000008</v>
      </c>
    </row>
    <row r="49" spans="1:13" ht="15.75" customHeight="1" x14ac:dyDescent="0.25">
      <c r="A49" s="1" t="s">
        <v>11</v>
      </c>
      <c r="B49" s="2"/>
      <c r="C49" s="3">
        <v>3344.96</v>
      </c>
      <c r="D49" s="3"/>
      <c r="E49" s="3"/>
      <c r="F49" s="3"/>
      <c r="G49" s="3"/>
      <c r="H49" s="3">
        <v>10546.43</v>
      </c>
      <c r="I49" s="3"/>
      <c r="J49" s="3"/>
      <c r="K49" s="12"/>
      <c r="L49" s="12">
        <f>C49+D49-E49+F49+G49+H49+I49+J49+K49</f>
        <v>13891.39</v>
      </c>
      <c r="M49" s="47"/>
    </row>
    <row r="50" spans="1:13" ht="15.75" customHeight="1" x14ac:dyDescent="0.25">
      <c r="A50" s="1" t="s">
        <v>21</v>
      </c>
      <c r="B50" s="2"/>
      <c r="C50" s="3">
        <v>69515.55</v>
      </c>
      <c r="D50" s="3"/>
      <c r="E50" s="3"/>
      <c r="F50" s="3"/>
      <c r="G50" s="3"/>
      <c r="H50" s="3"/>
      <c r="I50" s="3"/>
      <c r="J50" s="3"/>
      <c r="K50" s="12"/>
      <c r="L50" s="12">
        <f>C50+D50-E50+F50+G50+H50+I50+J50+K50</f>
        <v>69515.55</v>
      </c>
      <c r="M50" s="48"/>
    </row>
    <row r="51" spans="1:13" ht="15.75" customHeight="1" x14ac:dyDescent="0.25"/>
    <row r="52" spans="1:13" ht="15.75" customHeight="1" x14ac:dyDescent="0.25"/>
    <row r="53" spans="1:13" ht="15.75" customHeight="1" x14ac:dyDescent="0.25"/>
    <row r="54" spans="1:13" ht="15.75" customHeight="1" x14ac:dyDescent="0.25"/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M3:M4"/>
    <mergeCell ref="M16:M17"/>
    <mergeCell ref="M43:M45"/>
    <mergeCell ref="M38:M40"/>
    <mergeCell ref="M12:M13"/>
    <mergeCell ref="M36:M37"/>
    <mergeCell ref="M24:M25"/>
    <mergeCell ref="M14:M15"/>
    <mergeCell ref="M20:M21"/>
    <mergeCell ref="M33:M35"/>
    <mergeCell ref="M10:M11"/>
    <mergeCell ref="M22:M23"/>
    <mergeCell ref="M31:M32"/>
    <mergeCell ref="M48:M50"/>
    <mergeCell ref="M8:M9"/>
    <mergeCell ref="M18:M19"/>
    <mergeCell ref="M41:M42"/>
    <mergeCell ref="M26:M27"/>
    <mergeCell ref="M28:M30"/>
    <mergeCell ref="M46:M47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5"/>
  <sheetViews>
    <sheetView workbookViewId="0">
      <selection activeCell="N2" sqref="N2"/>
    </sheetView>
  </sheetViews>
  <sheetFormatPr defaultColWidth="14.42578125" defaultRowHeight="15" customHeight="1" x14ac:dyDescent="0.25"/>
  <cols>
    <col min="1" max="1" width="7.5703125" customWidth="1"/>
    <col min="2" max="2" width="12.5703125" customWidth="1"/>
    <col min="3" max="3" width="11" customWidth="1"/>
    <col min="4" max="4" width="15.85546875" customWidth="1"/>
    <col min="5" max="6" width="11" customWidth="1"/>
    <col min="7" max="7" width="13.42578125" customWidth="1"/>
    <col min="8" max="8" width="11" customWidth="1"/>
    <col min="9" max="9" width="13.5703125" customWidth="1"/>
    <col min="10" max="10" width="12.5703125" customWidth="1"/>
    <col min="11" max="13" width="11" customWidth="1"/>
    <col min="14" max="14" width="13.5703125" customWidth="1"/>
    <col min="15" max="15" width="12.5703125" customWidth="1"/>
    <col min="16" max="16" width="14.85546875" customWidth="1"/>
    <col min="17" max="17" width="12.5703125" customWidth="1"/>
    <col min="18" max="18" width="14.85546875" customWidth="1"/>
    <col min="19" max="19" width="14" customWidth="1"/>
    <col min="20" max="20" width="14.140625" customWidth="1"/>
    <col min="21" max="29" width="8.7109375" customWidth="1"/>
  </cols>
  <sheetData>
    <row r="1" spans="1:20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 t="s">
        <v>36</v>
      </c>
      <c r="O1" s="3"/>
      <c r="P1" s="3"/>
      <c r="Q1" s="3"/>
      <c r="R1" s="4"/>
      <c r="S1" s="5"/>
      <c r="T1" s="6"/>
    </row>
    <row r="2" spans="1:20" x14ac:dyDescent="0.25">
      <c r="A2" s="7">
        <v>44927</v>
      </c>
      <c r="B2" s="1"/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1" t="s">
        <v>6</v>
      </c>
      <c r="J2" s="8" t="s">
        <v>7</v>
      </c>
      <c r="K2" s="1" t="s">
        <v>8</v>
      </c>
      <c r="L2" s="1"/>
      <c r="M2" s="1" t="s">
        <v>9</v>
      </c>
      <c r="N2" s="8"/>
      <c r="O2" s="8"/>
      <c r="P2" s="8"/>
      <c r="Q2" s="8"/>
      <c r="R2" s="8"/>
      <c r="S2" s="8"/>
      <c r="T2" s="1"/>
    </row>
    <row r="3" spans="1:20" x14ac:dyDescent="0.25">
      <c r="A3" s="1" t="s">
        <v>10</v>
      </c>
      <c r="B3" s="9"/>
      <c r="C3" s="9">
        <v>20949.2</v>
      </c>
      <c r="D3" s="9">
        <v>775613.5</v>
      </c>
      <c r="E3" s="10">
        <v>409041.59</v>
      </c>
      <c r="F3" s="9">
        <v>42131.75</v>
      </c>
      <c r="G3" s="9">
        <v>23031.08</v>
      </c>
      <c r="H3" s="9">
        <v>81625.490000000005</v>
      </c>
      <c r="I3" s="9">
        <v>66607.5</v>
      </c>
      <c r="J3" s="9">
        <v>4917.75</v>
      </c>
      <c r="K3" s="12">
        <v>13253.16</v>
      </c>
      <c r="L3" s="12"/>
      <c r="M3" s="12">
        <f>C3+D3-E3+F3+G3+H3+I3+J3+K3</f>
        <v>619087.84</v>
      </c>
      <c r="N3" s="46">
        <f>M3+M4+M5</f>
        <v>708918.22</v>
      </c>
      <c r="O3" s="18"/>
      <c r="P3" s="9"/>
      <c r="Q3" s="18"/>
      <c r="R3" s="18"/>
      <c r="S3" s="4"/>
      <c r="T3" s="18"/>
    </row>
    <row r="4" spans="1:20" x14ac:dyDescent="0.25">
      <c r="A4" s="1" t="s">
        <v>11</v>
      </c>
      <c r="B4" s="5"/>
      <c r="C4" s="20">
        <v>1000</v>
      </c>
      <c r="D4" s="1"/>
      <c r="E4" s="1"/>
      <c r="F4" s="1"/>
      <c r="G4" s="8"/>
      <c r="H4" s="5">
        <v>11034.22</v>
      </c>
      <c r="I4" s="8"/>
      <c r="J4" s="8"/>
      <c r="K4" s="12"/>
      <c r="L4" s="12"/>
      <c r="M4" s="12">
        <f>C4+D4-E4+F4+G4+H4+I4+J4+K4</f>
        <v>12034.22</v>
      </c>
      <c r="N4" s="48"/>
      <c r="O4" s="8"/>
      <c r="P4" s="8"/>
      <c r="Q4" s="1"/>
      <c r="R4" s="8"/>
      <c r="S4" s="8"/>
      <c r="T4" s="1"/>
    </row>
    <row r="5" spans="1:20" ht="15.75" x14ac:dyDescent="0.25">
      <c r="A5" s="1" t="s">
        <v>21</v>
      </c>
      <c r="C5" s="9">
        <v>77796.160000000003</v>
      </c>
      <c r="D5" s="9"/>
      <c r="E5" s="9"/>
      <c r="F5" s="9"/>
      <c r="G5" s="9"/>
      <c r="H5" s="9"/>
      <c r="I5" s="9"/>
      <c r="J5" s="9"/>
      <c r="K5" s="9"/>
      <c r="L5" s="12"/>
      <c r="M5" s="12">
        <f>C5+D5-E5+F5+G5+H5+I5+J5+K5</f>
        <v>77796.160000000003</v>
      </c>
      <c r="N5" s="46"/>
      <c r="O5" s="9"/>
      <c r="P5" s="9"/>
      <c r="Q5" s="9"/>
      <c r="R5" s="18"/>
      <c r="S5" s="9"/>
      <c r="T5" s="21"/>
    </row>
    <row r="6" spans="1:20" x14ac:dyDescent="0.25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8"/>
      <c r="O6" s="3"/>
      <c r="P6" s="3"/>
      <c r="Q6" s="3"/>
      <c r="R6" s="4"/>
      <c r="S6" s="5"/>
      <c r="T6" s="6"/>
    </row>
    <row r="7" spans="1:20" x14ac:dyDescent="0.25">
      <c r="A7" s="7">
        <v>44958</v>
      </c>
      <c r="B7" s="1"/>
      <c r="C7" s="8" t="s">
        <v>0</v>
      </c>
      <c r="D7" s="8" t="s">
        <v>1</v>
      </c>
      <c r="E7" s="8" t="s">
        <v>2</v>
      </c>
      <c r="F7" s="8" t="s">
        <v>3</v>
      </c>
      <c r="G7" s="8" t="s">
        <v>4</v>
      </c>
      <c r="H7" s="8" t="s">
        <v>5</v>
      </c>
      <c r="I7" s="1" t="s">
        <v>6</v>
      </c>
      <c r="J7" s="8" t="s">
        <v>7</v>
      </c>
      <c r="K7" s="1" t="s">
        <v>8</v>
      </c>
      <c r="L7" s="1"/>
      <c r="M7" s="1" t="s">
        <v>9</v>
      </c>
      <c r="N7" s="16"/>
      <c r="O7" s="8"/>
      <c r="P7" s="8"/>
      <c r="Q7" s="8"/>
      <c r="R7" s="8"/>
      <c r="S7" s="8"/>
      <c r="T7" s="1"/>
    </row>
    <row r="8" spans="1:20" x14ac:dyDescent="0.25">
      <c r="A8" s="1" t="s">
        <v>10</v>
      </c>
      <c r="B8" s="9"/>
      <c r="C8" s="9">
        <v>3946.81</v>
      </c>
      <c r="D8" s="9">
        <v>777584.5</v>
      </c>
      <c r="E8" s="26">
        <v>408054.16</v>
      </c>
      <c r="F8" s="9">
        <v>44527.23</v>
      </c>
      <c r="G8" s="9">
        <v>28775</v>
      </c>
      <c r="H8" s="9">
        <v>88979.38</v>
      </c>
      <c r="I8" s="22">
        <v>62060</v>
      </c>
      <c r="J8" s="9">
        <v>6319.27</v>
      </c>
      <c r="K8" s="12">
        <v>13611.68</v>
      </c>
      <c r="L8" s="12"/>
      <c r="M8" s="12">
        <f>C8+D8-E8+F8+G8+H8+I8+J8+K8</f>
        <v>617749.71000000008</v>
      </c>
      <c r="N8" s="46">
        <f>M8+M9+M10</f>
        <v>723439.53</v>
      </c>
      <c r="O8" s="18"/>
      <c r="P8" s="9"/>
      <c r="Q8" s="18"/>
      <c r="R8" s="18"/>
      <c r="S8" s="4"/>
      <c r="T8" s="18"/>
    </row>
    <row r="9" spans="1:20" x14ac:dyDescent="0.25">
      <c r="A9" s="1" t="s">
        <v>11</v>
      </c>
      <c r="B9" s="5"/>
      <c r="C9" s="25">
        <v>5753.74</v>
      </c>
      <c r="D9" s="1"/>
      <c r="E9" s="1"/>
      <c r="F9" s="1"/>
      <c r="G9" s="8"/>
      <c r="H9" s="5">
        <v>13370.26</v>
      </c>
      <c r="I9" s="8"/>
      <c r="J9" s="8"/>
      <c r="K9" s="12"/>
      <c r="L9" s="12"/>
      <c r="M9" s="12">
        <f>C9+D9-E9+F9+G9+H9+I9+J9+K9</f>
        <v>19124</v>
      </c>
      <c r="N9" s="47"/>
      <c r="O9" s="8"/>
      <c r="P9" s="8"/>
      <c r="Q9" s="1"/>
      <c r="R9" s="8"/>
      <c r="S9" s="8"/>
      <c r="T9" s="1"/>
    </row>
    <row r="10" spans="1:20" x14ac:dyDescent="0.25">
      <c r="A10" s="1" t="s">
        <v>21</v>
      </c>
      <c r="B10" s="12"/>
      <c r="C10" s="9">
        <v>86565.82</v>
      </c>
      <c r="D10" s="9"/>
      <c r="E10" s="9"/>
      <c r="F10" s="9"/>
      <c r="G10" s="9"/>
      <c r="H10" s="9"/>
      <c r="I10" s="9"/>
      <c r="J10" s="9"/>
      <c r="K10" s="12"/>
      <c r="L10" s="12"/>
      <c r="M10" s="12">
        <f>C10+D10-E10+F10+G10+H10+I10+J10+K10</f>
        <v>86565.82</v>
      </c>
      <c r="N10" s="48"/>
      <c r="O10" s="9"/>
      <c r="P10" s="9"/>
      <c r="Q10" s="9"/>
      <c r="R10" s="18"/>
      <c r="S10" s="9"/>
      <c r="T10" s="18"/>
    </row>
    <row r="11" spans="1:20" x14ac:dyDescent="0.25">
      <c r="A11" s="7"/>
      <c r="B11" s="2"/>
      <c r="C11" s="8"/>
      <c r="D11" s="8"/>
      <c r="E11" s="8"/>
      <c r="F11" s="8"/>
      <c r="G11" s="8"/>
      <c r="H11" s="8"/>
      <c r="I11" s="1"/>
      <c r="J11" s="8"/>
      <c r="K11" s="1"/>
      <c r="L11" s="1"/>
      <c r="M11" s="1"/>
      <c r="N11" s="46"/>
      <c r="O11" s="3"/>
      <c r="P11" s="3"/>
      <c r="Q11" s="3"/>
      <c r="R11" s="4"/>
      <c r="S11" s="5"/>
      <c r="T11" s="6"/>
    </row>
    <row r="12" spans="1:20" x14ac:dyDescent="0.25">
      <c r="A12" s="7">
        <v>44623</v>
      </c>
      <c r="B12" s="2"/>
      <c r="C12" s="8" t="s">
        <v>0</v>
      </c>
      <c r="D12" s="8" t="s">
        <v>1</v>
      </c>
      <c r="E12" s="8" t="s">
        <v>2</v>
      </c>
      <c r="F12" s="8" t="s">
        <v>3</v>
      </c>
      <c r="G12" s="8" t="s">
        <v>4</v>
      </c>
      <c r="H12" s="8" t="s">
        <v>5</v>
      </c>
      <c r="I12" s="1" t="s">
        <v>6</v>
      </c>
      <c r="J12" s="8" t="s">
        <v>7</v>
      </c>
      <c r="K12" s="1" t="s">
        <v>8</v>
      </c>
      <c r="L12" s="1"/>
      <c r="M12" s="1" t="s">
        <v>9</v>
      </c>
      <c r="N12" s="48"/>
      <c r="O12" s="3"/>
      <c r="P12" s="3"/>
      <c r="Q12" s="3"/>
      <c r="R12" s="4"/>
      <c r="S12" s="5"/>
      <c r="T12" s="6"/>
    </row>
    <row r="13" spans="1:20" x14ac:dyDescent="0.25">
      <c r="A13" s="1" t="s">
        <v>10</v>
      </c>
      <c r="B13" s="2"/>
      <c r="C13" s="3">
        <f>1331+1180.09</f>
        <v>2511.09</v>
      </c>
      <c r="D13" s="3">
        <v>780143.5</v>
      </c>
      <c r="E13" s="3">
        <v>406072.5</v>
      </c>
      <c r="F13" s="3">
        <v>43599.77</v>
      </c>
      <c r="G13" s="3">
        <v>30708.15</v>
      </c>
      <c r="H13" s="3">
        <v>89306.19</v>
      </c>
      <c r="I13" s="3">
        <v>57480.4</v>
      </c>
      <c r="J13" s="3">
        <v>5855.48</v>
      </c>
      <c r="K13" s="12">
        <v>13639.12</v>
      </c>
      <c r="L13" s="12"/>
      <c r="M13" s="12">
        <f>C13+D13-E13+F13+G13+H13+I13+J13+K13</f>
        <v>617171.19999999995</v>
      </c>
      <c r="N13" s="46">
        <f>M13+M14+M15</f>
        <v>731656.28999999992</v>
      </c>
      <c r="O13" s="3"/>
      <c r="P13" s="3"/>
      <c r="Q13" s="3"/>
      <c r="R13" s="4"/>
    </row>
    <row r="14" spans="1:20" x14ac:dyDescent="0.25">
      <c r="A14" s="1" t="s">
        <v>11</v>
      </c>
      <c r="B14" s="2"/>
      <c r="C14" s="3">
        <v>497</v>
      </c>
      <c r="D14" s="3"/>
      <c r="E14" s="3"/>
      <c r="F14" s="3"/>
      <c r="G14" s="3"/>
      <c r="H14" s="3">
        <v>13963.59</v>
      </c>
      <c r="I14" s="3"/>
      <c r="J14" s="3"/>
      <c r="K14" s="12"/>
      <c r="L14" s="12"/>
      <c r="M14" s="12">
        <f>C14+D14-E14+F14+G14+H14+I14+J14+K14</f>
        <v>14460.59</v>
      </c>
      <c r="N14" s="47"/>
      <c r="O14" s="3"/>
      <c r="P14" s="3"/>
      <c r="Q14" s="3"/>
      <c r="R14" s="4"/>
    </row>
    <row r="15" spans="1:20" x14ac:dyDescent="0.25">
      <c r="A15" s="1" t="s">
        <v>21</v>
      </c>
      <c r="B15" s="12"/>
      <c r="C15" s="9">
        <v>100024.5</v>
      </c>
      <c r="D15" s="9"/>
      <c r="E15" s="9"/>
      <c r="F15" s="9"/>
      <c r="G15" s="9"/>
      <c r="H15" s="9"/>
      <c r="I15" s="9"/>
      <c r="J15" s="9"/>
      <c r="K15" s="12"/>
      <c r="L15" s="12"/>
      <c r="M15" s="12">
        <f>C15+D15-E15+F15+G15+H15+I15+J15+K15</f>
        <v>100024.5</v>
      </c>
      <c r="N15" s="48"/>
    </row>
    <row r="16" spans="1:20" x14ac:dyDescent="0.25">
      <c r="A16" s="7"/>
      <c r="B16" s="2"/>
      <c r="C16" s="8"/>
      <c r="D16" s="8"/>
      <c r="E16" s="8"/>
      <c r="F16" s="8"/>
      <c r="G16" s="8"/>
      <c r="H16" s="8"/>
      <c r="I16" s="1"/>
      <c r="J16" s="8"/>
      <c r="K16" s="1"/>
      <c r="L16" s="1"/>
      <c r="M16" s="1"/>
      <c r="N16" s="35"/>
    </row>
    <row r="17" spans="1:17" x14ac:dyDescent="0.25">
      <c r="A17" s="7">
        <v>45029</v>
      </c>
      <c r="B17" s="2"/>
      <c r="C17" s="8" t="s">
        <v>0</v>
      </c>
      <c r="D17" s="8" t="s">
        <v>1</v>
      </c>
      <c r="E17" s="8" t="s">
        <v>2</v>
      </c>
      <c r="F17" s="8" t="s">
        <v>3</v>
      </c>
      <c r="G17" s="8" t="s">
        <v>4</v>
      </c>
      <c r="H17" s="8" t="s">
        <v>5</v>
      </c>
      <c r="I17" s="1" t="s">
        <v>6</v>
      </c>
      <c r="J17" s="8" t="s">
        <v>7</v>
      </c>
      <c r="K17" s="1" t="s">
        <v>8</v>
      </c>
      <c r="L17" s="1"/>
      <c r="M17" s="1" t="s">
        <v>9</v>
      </c>
      <c r="N17" s="16"/>
    </row>
    <row r="18" spans="1:17" x14ac:dyDescent="0.25">
      <c r="A18" s="1" t="s">
        <v>10</v>
      </c>
      <c r="B18" s="2"/>
      <c r="C18" s="3">
        <v>3812.22</v>
      </c>
      <c r="D18" s="3">
        <v>814106.5</v>
      </c>
      <c r="E18" s="36">
        <v>405078.26</v>
      </c>
      <c r="F18" s="3">
        <v>43811.01</v>
      </c>
      <c r="G18" s="3">
        <v>31216.59</v>
      </c>
      <c r="H18" s="3">
        <v>89643.47</v>
      </c>
      <c r="I18" s="3">
        <v>62145.599999999999</v>
      </c>
      <c r="J18" s="3">
        <v>6330.71</v>
      </c>
      <c r="K18" s="12">
        <v>13766.4</v>
      </c>
      <c r="L18" s="12"/>
      <c r="M18" s="12">
        <f>C18+D18-E18+F18+G18+H18+I18+J18+K18</f>
        <v>659754.23999999999</v>
      </c>
      <c r="N18" s="46">
        <f>M18+M19+M20</f>
        <v>772171.83</v>
      </c>
    </row>
    <row r="19" spans="1:17" x14ac:dyDescent="0.25">
      <c r="A19" s="1" t="s">
        <v>11</v>
      </c>
      <c r="B19" s="2"/>
      <c r="C19" s="3">
        <v>397.62</v>
      </c>
      <c r="D19" s="3"/>
      <c r="E19" s="3"/>
      <c r="F19" s="3"/>
      <c r="G19" s="3"/>
      <c r="H19" s="3">
        <v>15342.73</v>
      </c>
      <c r="I19" s="3"/>
      <c r="J19" s="3"/>
      <c r="K19" s="12"/>
      <c r="L19" s="12"/>
      <c r="M19" s="12">
        <f>C19+D19-E19+F19+G19+H19+I19+J19+K19</f>
        <v>15740.35</v>
      </c>
      <c r="N19" s="47"/>
    </row>
    <row r="20" spans="1:17" x14ac:dyDescent="0.25">
      <c r="A20" s="1" t="s">
        <v>21</v>
      </c>
      <c r="B20" s="12"/>
      <c r="C20" s="9">
        <v>96677.24</v>
      </c>
      <c r="D20" s="9"/>
      <c r="E20" s="9"/>
      <c r="F20" s="9"/>
      <c r="G20" s="9"/>
      <c r="H20" s="9"/>
      <c r="I20" s="9"/>
      <c r="J20" s="9"/>
      <c r="K20" s="12"/>
      <c r="L20" s="12"/>
      <c r="M20" s="12">
        <f>C20+D20-E20+F20+G20+H20+I20+J20+K20</f>
        <v>96677.24</v>
      </c>
      <c r="N20" s="48"/>
      <c r="P20" s="30" t="s">
        <v>12</v>
      </c>
      <c r="Q20" s="30">
        <v>7014</v>
      </c>
    </row>
    <row r="21" spans="1:17" x14ac:dyDescent="0.25">
      <c r="A21" s="7"/>
      <c r="B21" s="2"/>
      <c r="C21" s="8"/>
      <c r="D21" s="8"/>
      <c r="E21" s="8"/>
      <c r="F21" s="8"/>
      <c r="G21" s="8"/>
      <c r="H21" s="8"/>
      <c r="I21" s="1"/>
      <c r="J21" s="8"/>
      <c r="K21" s="1"/>
      <c r="L21" s="1"/>
      <c r="M21" s="1"/>
      <c r="N21" s="46"/>
      <c r="P21" s="30"/>
      <c r="Q21" s="30"/>
    </row>
    <row r="22" spans="1:17" x14ac:dyDescent="0.25">
      <c r="A22" s="7">
        <v>45054</v>
      </c>
      <c r="B22" s="2"/>
      <c r="C22" s="8" t="s">
        <v>0</v>
      </c>
      <c r="D22" s="8" t="s">
        <v>1</v>
      </c>
      <c r="E22" s="8" t="s">
        <v>2</v>
      </c>
      <c r="F22" s="8" t="s">
        <v>3</v>
      </c>
      <c r="G22" s="8" t="s">
        <v>4</v>
      </c>
      <c r="H22" s="8" t="s">
        <v>5</v>
      </c>
      <c r="I22" s="1" t="s">
        <v>6</v>
      </c>
      <c r="J22" s="8" t="s">
        <v>7</v>
      </c>
      <c r="K22" s="1" t="s">
        <v>8</v>
      </c>
      <c r="L22" s="1"/>
      <c r="M22" s="1" t="s">
        <v>9</v>
      </c>
      <c r="N22" s="48"/>
      <c r="P22" s="30" t="s">
        <v>2</v>
      </c>
      <c r="Q22" s="30">
        <v>-2578.0300000000002</v>
      </c>
    </row>
    <row r="23" spans="1:17" x14ac:dyDescent="0.25">
      <c r="A23" s="1" t="s">
        <v>10</v>
      </c>
      <c r="B23" s="2"/>
      <c r="C23" s="3">
        <v>3649.36</v>
      </c>
      <c r="D23" s="3">
        <v>821283</v>
      </c>
      <c r="E23" s="3">
        <v>404081.74</v>
      </c>
      <c r="F23" s="3">
        <v>44155.22</v>
      </c>
      <c r="G23" s="3">
        <v>30827.54</v>
      </c>
      <c r="H23" s="3">
        <v>90693.04</v>
      </c>
      <c r="I23" s="3">
        <v>69047.100000000006</v>
      </c>
      <c r="J23" s="3">
        <v>7033.77</v>
      </c>
      <c r="K23" s="12">
        <v>13783.65</v>
      </c>
      <c r="L23" s="12"/>
      <c r="M23" s="12">
        <f>C23+D23-E23+F23+G23+H23+I23+J23+K23+L23</f>
        <v>676390.94</v>
      </c>
      <c r="N23" s="46">
        <f>M23+M24+M25</f>
        <v>785340.32</v>
      </c>
      <c r="P23" s="30" t="s">
        <v>13</v>
      </c>
      <c r="Q23" s="30">
        <v>-46</v>
      </c>
    </row>
    <row r="24" spans="1:17" ht="15.75" customHeight="1" x14ac:dyDescent="0.25">
      <c r="A24" s="1" t="s">
        <v>11</v>
      </c>
      <c r="B24" s="2"/>
      <c r="C24" s="3">
        <v>5066.68</v>
      </c>
      <c r="D24" s="3"/>
      <c r="E24" s="3"/>
      <c r="F24" s="3"/>
      <c r="G24" s="3"/>
      <c r="H24" s="3">
        <v>16203.24</v>
      </c>
      <c r="I24" s="3"/>
      <c r="J24" s="3"/>
      <c r="K24" s="12"/>
      <c r="L24" s="12"/>
      <c r="M24" s="12">
        <f>C24+D24-E24+F24+G24+H24+I24+J24+K24</f>
        <v>21269.919999999998</v>
      </c>
      <c r="N24" s="47"/>
      <c r="P24" s="30" t="s">
        <v>14</v>
      </c>
      <c r="Q24" s="30">
        <v>-50</v>
      </c>
    </row>
    <row r="25" spans="1:17" ht="15.75" customHeight="1" x14ac:dyDescent="0.25">
      <c r="A25" s="1" t="s">
        <v>21</v>
      </c>
      <c r="B25" s="12"/>
      <c r="C25" s="9">
        <v>87679.46</v>
      </c>
      <c r="D25" s="9"/>
      <c r="E25" s="9"/>
      <c r="F25" s="9"/>
      <c r="G25" s="9"/>
      <c r="H25" s="9"/>
      <c r="I25" s="9"/>
      <c r="J25" s="9"/>
      <c r="K25" s="12"/>
      <c r="L25" s="12"/>
      <c r="M25" s="12">
        <f>C25+D25-E25+F25+G25+H25+I25+J25+K25</f>
        <v>87679.46</v>
      </c>
      <c r="N25" s="48"/>
      <c r="P25" s="30" t="s">
        <v>15</v>
      </c>
      <c r="Q25" s="30">
        <v>-100</v>
      </c>
    </row>
    <row r="26" spans="1:17" ht="15.75" customHeight="1" x14ac:dyDescent="0.25">
      <c r="A26" s="7"/>
      <c r="B26" s="2"/>
      <c r="C26" s="8"/>
      <c r="D26" s="8"/>
      <c r="E26" s="8"/>
      <c r="F26" s="8"/>
      <c r="G26" s="8"/>
      <c r="H26" s="8"/>
      <c r="I26" s="1"/>
      <c r="J26" s="8"/>
      <c r="K26" s="1"/>
      <c r="L26" s="1"/>
      <c r="M26" s="1"/>
      <c r="N26" s="35"/>
      <c r="P26" s="30" t="s">
        <v>22</v>
      </c>
      <c r="Q26" s="30">
        <v>-192.24</v>
      </c>
    </row>
    <row r="27" spans="1:17" ht="15.75" customHeight="1" x14ac:dyDescent="0.25">
      <c r="A27" s="7">
        <v>45080</v>
      </c>
      <c r="B27" s="2"/>
      <c r="C27" s="8" t="s">
        <v>0</v>
      </c>
      <c r="D27" s="8" t="s">
        <v>1</v>
      </c>
      <c r="E27" s="8" t="s">
        <v>2</v>
      </c>
      <c r="F27" s="8" t="s">
        <v>3</v>
      </c>
      <c r="G27" s="8" t="s">
        <v>4</v>
      </c>
      <c r="H27" s="8" t="s">
        <v>5</v>
      </c>
      <c r="I27" s="1" t="s">
        <v>6</v>
      </c>
      <c r="J27" s="8" t="s">
        <v>7</v>
      </c>
      <c r="K27" s="1" t="s">
        <v>8</v>
      </c>
      <c r="L27" s="1" t="s">
        <v>23</v>
      </c>
      <c r="M27" s="1" t="s">
        <v>9</v>
      </c>
      <c r="N27" s="16"/>
      <c r="P27" s="30" t="s">
        <v>16</v>
      </c>
      <c r="Q27" s="30">
        <v>-100</v>
      </c>
    </row>
    <row r="28" spans="1:17" ht="15.75" customHeight="1" x14ac:dyDescent="0.25">
      <c r="A28" s="1" t="s">
        <v>10</v>
      </c>
      <c r="B28" s="2"/>
      <c r="C28" s="3">
        <v>4931.1000000000004</v>
      </c>
      <c r="D28" s="3">
        <v>824180</v>
      </c>
      <c r="E28" s="36">
        <v>403082.94</v>
      </c>
      <c r="F28" s="3">
        <v>45269.87</v>
      </c>
      <c r="G28" s="3">
        <v>36208.269999999997</v>
      </c>
      <c r="H28" s="3">
        <v>94401.99</v>
      </c>
      <c r="I28" s="3">
        <v>68000</v>
      </c>
      <c r="J28" s="3">
        <v>6936.75</v>
      </c>
      <c r="K28" s="12">
        <v>14021.8</v>
      </c>
      <c r="L28" s="12">
        <v>10704</v>
      </c>
      <c r="M28" s="12">
        <f>C28+D28-E28+F28+G28+H28+I28+J28+K28+L28</f>
        <v>701570.84000000008</v>
      </c>
      <c r="N28" s="46">
        <f>M28+M29+M30</f>
        <v>818597.17</v>
      </c>
      <c r="P28" s="30" t="s">
        <v>17</v>
      </c>
      <c r="Q28" s="30">
        <v>-70</v>
      </c>
    </row>
    <row r="29" spans="1:17" ht="15.75" customHeight="1" x14ac:dyDescent="0.25">
      <c r="A29" s="1" t="s">
        <v>11</v>
      </c>
      <c r="B29" s="2"/>
      <c r="C29" s="3">
        <v>963.33</v>
      </c>
      <c r="D29" s="3"/>
      <c r="E29" s="3"/>
      <c r="F29" s="3"/>
      <c r="G29" s="3"/>
      <c r="H29" s="3">
        <v>17380.759999999998</v>
      </c>
      <c r="I29" s="3"/>
      <c r="J29" s="3"/>
      <c r="K29" s="12"/>
      <c r="L29" s="12"/>
      <c r="M29" s="12">
        <f>C29+D29-E29+F29+G29+H29+I29+J29+K29</f>
        <v>18344.09</v>
      </c>
      <c r="N29" s="47"/>
      <c r="P29" s="30" t="s">
        <v>18</v>
      </c>
      <c r="Q29" s="30">
        <v>-553</v>
      </c>
    </row>
    <row r="30" spans="1:17" ht="15.75" customHeight="1" x14ac:dyDescent="0.25">
      <c r="A30" s="1" t="s">
        <v>21</v>
      </c>
      <c r="B30" s="12"/>
      <c r="C30" s="9">
        <v>98682.240000000005</v>
      </c>
      <c r="D30" s="9"/>
      <c r="E30" s="9"/>
      <c r="F30" s="9"/>
      <c r="G30" s="9"/>
      <c r="H30" s="9"/>
      <c r="I30" s="9"/>
      <c r="J30" s="9"/>
      <c r="K30" s="12"/>
      <c r="L30" s="12"/>
      <c r="M30" s="12">
        <f>C30+D30-E30+F30+G30+H30+I30+J30+K30</f>
        <v>98682.240000000005</v>
      </c>
      <c r="N30" s="48"/>
      <c r="P30" s="30" t="s">
        <v>19</v>
      </c>
      <c r="Q30" s="30">
        <v>-150</v>
      </c>
    </row>
    <row r="31" spans="1:17" ht="15.75" customHeight="1" x14ac:dyDescent="0.25">
      <c r="A31" s="7"/>
      <c r="B31" s="2"/>
      <c r="C31" s="8"/>
      <c r="D31" s="8"/>
      <c r="E31" s="8"/>
      <c r="F31" s="8"/>
      <c r="G31" s="8"/>
      <c r="H31" s="8"/>
      <c r="I31" s="1"/>
      <c r="J31" s="8"/>
      <c r="K31" s="1"/>
      <c r="L31" s="1"/>
      <c r="M31" s="1"/>
      <c r="N31" s="46"/>
      <c r="P31" s="30" t="s">
        <v>24</v>
      </c>
      <c r="Q31" s="30">
        <v>-200.96</v>
      </c>
    </row>
    <row r="32" spans="1:17" ht="15.75" customHeight="1" x14ac:dyDescent="0.25">
      <c r="A32" s="7">
        <v>45108</v>
      </c>
      <c r="B32" s="2"/>
      <c r="C32" s="8" t="s">
        <v>0</v>
      </c>
      <c r="D32" s="8" t="s">
        <v>1</v>
      </c>
      <c r="E32" s="8" t="s">
        <v>2</v>
      </c>
      <c r="F32" s="8" t="s">
        <v>3</v>
      </c>
      <c r="G32" s="8" t="s">
        <v>4</v>
      </c>
      <c r="H32" s="8" t="s">
        <v>5</v>
      </c>
      <c r="I32" s="1" t="s">
        <v>6</v>
      </c>
      <c r="J32" s="8" t="s">
        <v>7</v>
      </c>
      <c r="K32" s="1" t="s">
        <v>8</v>
      </c>
      <c r="L32" s="1" t="s">
        <v>25</v>
      </c>
      <c r="M32" s="1" t="s">
        <v>9</v>
      </c>
      <c r="N32" s="48"/>
      <c r="P32" s="30" t="s">
        <v>20</v>
      </c>
      <c r="Q32" s="30">
        <v>-550</v>
      </c>
    </row>
    <row r="33" spans="1:17" ht="15.75" customHeight="1" x14ac:dyDescent="0.25">
      <c r="A33" s="1" t="s">
        <v>10</v>
      </c>
      <c r="B33" s="2"/>
      <c r="C33" s="3">
        <v>4757.97</v>
      </c>
      <c r="D33" s="3">
        <v>829113</v>
      </c>
      <c r="E33" s="3">
        <v>400479.62</v>
      </c>
      <c r="F33" s="3">
        <v>46715.8</v>
      </c>
      <c r="G33" s="3">
        <v>40157.839999999997</v>
      </c>
      <c r="H33" s="3">
        <v>99582.27</v>
      </c>
      <c r="I33" s="39">
        <v>75378.600000000006</v>
      </c>
      <c r="J33" s="3">
        <v>6474.6</v>
      </c>
      <c r="K33" s="12">
        <v>14230.95</v>
      </c>
      <c r="L33" s="12">
        <v>10764</v>
      </c>
      <c r="M33" s="12">
        <f>C33+D33-E33+F33+G33+H33+I33+J33+K33+L33</f>
        <v>726695.40999999992</v>
      </c>
      <c r="N33" s="46">
        <f>M33+M34+M35</f>
        <v>865688.3899999999</v>
      </c>
      <c r="Q33" s="30">
        <f>SUM(Q20:Q32)</f>
        <v>2423.7699999999995</v>
      </c>
    </row>
    <row r="34" spans="1:17" ht="15.75" customHeight="1" x14ac:dyDescent="0.25">
      <c r="A34" s="1" t="s">
        <v>11</v>
      </c>
      <c r="B34" s="2"/>
      <c r="C34" s="3">
        <v>1000</v>
      </c>
      <c r="D34" s="3"/>
      <c r="E34" s="3"/>
      <c r="F34" s="3"/>
      <c r="G34" s="3"/>
      <c r="H34" s="3">
        <v>21285.62</v>
      </c>
      <c r="I34" s="3"/>
      <c r="J34" s="3"/>
      <c r="K34" s="12"/>
      <c r="L34" s="12"/>
      <c r="M34" s="12">
        <f>C34+D34-E34+F34+G34+H34+I34+J34+K34</f>
        <v>22285.62</v>
      </c>
      <c r="N34" s="47"/>
    </row>
    <row r="35" spans="1:17" ht="15.75" customHeight="1" x14ac:dyDescent="0.25">
      <c r="A35" s="1" t="s">
        <v>21</v>
      </c>
      <c r="B35" s="2"/>
      <c r="C35" s="3">
        <v>116707.36</v>
      </c>
      <c r="D35" s="3"/>
      <c r="E35" s="3"/>
      <c r="F35" s="3"/>
      <c r="G35" s="3"/>
      <c r="H35" s="3"/>
      <c r="I35" s="3"/>
      <c r="J35" s="3"/>
      <c r="K35" s="12"/>
      <c r="L35" s="12"/>
      <c r="M35" s="12">
        <f>C35+D35-E35+F35+G35+H35+I35+J35+K35</f>
        <v>116707.36</v>
      </c>
      <c r="N35" s="48"/>
    </row>
    <row r="36" spans="1:17" ht="15.75" customHeight="1" x14ac:dyDescent="0.25">
      <c r="A36" s="1"/>
      <c r="B36" s="12"/>
      <c r="C36" s="9"/>
      <c r="D36" s="9"/>
      <c r="E36" s="9"/>
      <c r="F36" s="9"/>
      <c r="G36" s="9"/>
      <c r="H36" s="9"/>
      <c r="I36" s="9"/>
      <c r="J36" s="9"/>
      <c r="K36" s="12"/>
      <c r="L36" s="12"/>
      <c r="M36" s="12"/>
      <c r="N36" s="35"/>
    </row>
    <row r="37" spans="1:17" ht="15.75" customHeight="1" x14ac:dyDescent="0.25">
      <c r="A37" s="7">
        <v>44774</v>
      </c>
      <c r="B37" s="2"/>
      <c r="C37" s="8" t="s">
        <v>0</v>
      </c>
      <c r="D37" s="8" t="s">
        <v>1</v>
      </c>
      <c r="E37" s="8" t="s">
        <v>2</v>
      </c>
      <c r="F37" s="8" t="s">
        <v>3</v>
      </c>
      <c r="G37" s="8" t="s">
        <v>4</v>
      </c>
      <c r="H37" s="8" t="s">
        <v>5</v>
      </c>
      <c r="I37" s="1" t="s">
        <v>6</v>
      </c>
      <c r="J37" s="8" t="s">
        <v>7</v>
      </c>
      <c r="K37" s="1" t="s">
        <v>8</v>
      </c>
      <c r="L37" s="1" t="s">
        <v>25</v>
      </c>
      <c r="M37" s="1" t="s">
        <v>9</v>
      </c>
      <c r="N37" s="16"/>
    </row>
    <row r="38" spans="1:17" ht="15.75" customHeight="1" x14ac:dyDescent="0.25">
      <c r="A38" s="1" t="s">
        <v>10</v>
      </c>
      <c r="B38" s="2"/>
      <c r="C38" s="3">
        <v>2252.9899999999998</v>
      </c>
      <c r="D38" s="3">
        <v>827763.5</v>
      </c>
      <c r="E38" s="3">
        <v>402081.85</v>
      </c>
      <c r="F38" s="3">
        <v>48120.93</v>
      </c>
      <c r="G38" s="3">
        <v>41325.61</v>
      </c>
      <c r="H38" s="3">
        <v>104657.5</v>
      </c>
      <c r="I38" s="3">
        <v>87231.06</v>
      </c>
      <c r="J38" s="3">
        <v>7501.92</v>
      </c>
      <c r="K38" s="12">
        <v>14421.52</v>
      </c>
      <c r="L38" s="12">
        <v>10820</v>
      </c>
      <c r="M38" s="12">
        <f>C38+D38-E38+F38+G38+H38+I38+J38+K38+L38</f>
        <v>742013.18</v>
      </c>
      <c r="N38" s="46">
        <f>M38+M39+M40</f>
        <v>889607.11</v>
      </c>
    </row>
    <row r="39" spans="1:17" ht="15.75" customHeight="1" x14ac:dyDescent="0.25">
      <c r="A39" s="1" t="s">
        <v>11</v>
      </c>
      <c r="B39" s="2"/>
      <c r="C39" s="3">
        <v>7878.27</v>
      </c>
      <c r="D39" s="3"/>
      <c r="E39" s="3"/>
      <c r="F39" s="3"/>
      <c r="G39" s="3"/>
      <c r="H39" s="3">
        <v>23004.67</v>
      </c>
      <c r="I39" s="3"/>
      <c r="J39" s="3"/>
      <c r="K39" s="12"/>
      <c r="L39" s="12"/>
      <c r="M39" s="12">
        <f>C39+D39-E39+F39+G39+H39+I39+J39+K39</f>
        <v>30882.94</v>
      </c>
      <c r="N39" s="47"/>
    </row>
    <row r="40" spans="1:17" ht="15.75" customHeight="1" x14ac:dyDescent="0.25">
      <c r="A40" s="1" t="s">
        <v>21</v>
      </c>
      <c r="B40" s="2"/>
      <c r="C40" s="3">
        <v>116710.99</v>
      </c>
      <c r="D40" s="3"/>
      <c r="E40" s="3"/>
      <c r="F40" s="3"/>
      <c r="G40" s="3"/>
      <c r="H40" s="3"/>
      <c r="I40" s="3"/>
      <c r="J40" s="3"/>
      <c r="K40" s="12"/>
      <c r="L40" s="12"/>
      <c r="M40" s="12">
        <f>C40+D40-E40+F40+G40+H40+I40+J40+K40</f>
        <v>116710.99</v>
      </c>
      <c r="N40" s="48"/>
    </row>
    <row r="41" spans="1:17" ht="15.75" customHeight="1" x14ac:dyDescent="0.25">
      <c r="A41" s="1"/>
      <c r="B41" s="12"/>
      <c r="C41" s="9"/>
      <c r="D41" s="9"/>
      <c r="E41" s="9"/>
      <c r="F41" s="9"/>
      <c r="G41" s="9"/>
      <c r="H41" s="9"/>
      <c r="I41" s="9"/>
      <c r="J41" s="9"/>
      <c r="K41" s="12"/>
      <c r="L41" s="12"/>
      <c r="M41" s="12"/>
      <c r="N41" s="46"/>
    </row>
    <row r="42" spans="1:17" ht="15.75" customHeight="1" x14ac:dyDescent="0.25">
      <c r="A42" s="7">
        <v>44805</v>
      </c>
      <c r="B42" s="2"/>
      <c r="C42" s="8" t="s">
        <v>0</v>
      </c>
      <c r="D42" s="8" t="s">
        <v>1</v>
      </c>
      <c r="E42" s="8" t="s">
        <v>2</v>
      </c>
      <c r="F42" s="8" t="s">
        <v>3</v>
      </c>
      <c r="G42" s="8" t="s">
        <v>4</v>
      </c>
      <c r="H42" s="8" t="s">
        <v>5</v>
      </c>
      <c r="I42" s="1" t="s">
        <v>6</v>
      </c>
      <c r="J42" s="8" t="s">
        <v>7</v>
      </c>
      <c r="K42" s="1" t="s">
        <v>8</v>
      </c>
      <c r="L42" s="1" t="s">
        <v>25</v>
      </c>
      <c r="M42" s="1" t="s">
        <v>9</v>
      </c>
      <c r="N42" s="48"/>
    </row>
    <row r="43" spans="1:17" ht="15.75" customHeight="1" x14ac:dyDescent="0.25">
      <c r="A43" s="1" t="s">
        <v>10</v>
      </c>
      <c r="B43" s="2"/>
      <c r="C43" s="3">
        <v>3969.43</v>
      </c>
      <c r="D43" s="3">
        <v>804294.5</v>
      </c>
      <c r="E43" s="3">
        <v>401078.47</v>
      </c>
      <c r="F43" s="3">
        <v>47032.12</v>
      </c>
      <c r="G43" s="3">
        <v>40232.629999999997</v>
      </c>
      <c r="H43" s="3">
        <v>103967.65</v>
      </c>
      <c r="I43" s="3">
        <v>88309.71</v>
      </c>
      <c r="J43" s="3">
        <v>7573.32</v>
      </c>
      <c r="K43" s="12">
        <v>14330.28</v>
      </c>
      <c r="L43" s="12">
        <v>10852</v>
      </c>
      <c r="M43" s="12">
        <f>C43+D43-E43+F43+G43+H43+I43+J43+K43+L43</f>
        <v>719483.17</v>
      </c>
      <c r="N43" s="46">
        <f>M43+M44+M45</f>
        <v>871767.48</v>
      </c>
    </row>
    <row r="44" spans="1:17" ht="15.75" customHeight="1" x14ac:dyDescent="0.25">
      <c r="A44" s="1" t="s">
        <v>11</v>
      </c>
      <c r="B44" s="2"/>
      <c r="C44" s="3">
        <v>12100.39</v>
      </c>
      <c r="D44" s="3"/>
      <c r="E44" s="3"/>
      <c r="F44" s="3"/>
      <c r="G44" s="3"/>
      <c r="H44" s="3">
        <v>23468.71</v>
      </c>
      <c r="I44" s="3"/>
      <c r="J44" s="3"/>
      <c r="K44" s="12"/>
      <c r="L44" s="12"/>
      <c r="M44" s="12">
        <f>C44+D44-E44+F44+G44+H44+I44+J44+K44</f>
        <v>35569.1</v>
      </c>
      <c r="N44" s="47"/>
    </row>
    <row r="45" spans="1:17" ht="15.75" customHeight="1" x14ac:dyDescent="0.25">
      <c r="A45" s="1" t="s">
        <v>21</v>
      </c>
      <c r="B45" s="2"/>
      <c r="C45" s="3">
        <v>116715.21</v>
      </c>
      <c r="D45" s="3"/>
      <c r="E45" s="3"/>
      <c r="F45" s="3"/>
      <c r="G45" s="3"/>
      <c r="H45" s="3"/>
      <c r="I45" s="3"/>
      <c r="J45" s="3"/>
      <c r="K45" s="12"/>
      <c r="L45" s="12"/>
      <c r="M45" s="12">
        <f>C45+D45-E45+F45+G45+H45+I45+J45+K45</f>
        <v>116715.21</v>
      </c>
      <c r="N45" s="48"/>
    </row>
    <row r="46" spans="1:17" ht="15.75" customHeight="1" x14ac:dyDescent="0.25">
      <c r="A46" s="1"/>
      <c r="B46" s="12"/>
      <c r="C46" s="9"/>
      <c r="D46" s="9"/>
      <c r="E46" s="9"/>
      <c r="F46" s="9"/>
      <c r="G46" s="9"/>
      <c r="H46" s="9"/>
      <c r="I46" s="9"/>
      <c r="J46" s="9"/>
      <c r="K46" s="12"/>
      <c r="L46" s="12"/>
      <c r="M46" s="12"/>
      <c r="N46" s="35"/>
    </row>
    <row r="47" spans="1:17" ht="15.75" customHeight="1" x14ac:dyDescent="0.25">
      <c r="A47" s="7">
        <v>45212</v>
      </c>
      <c r="B47" s="2"/>
      <c r="C47" s="8" t="s">
        <v>0</v>
      </c>
      <c r="D47" s="8" t="s">
        <v>1</v>
      </c>
      <c r="E47" s="8" t="s">
        <v>2</v>
      </c>
      <c r="F47" s="8" t="s">
        <v>3</v>
      </c>
      <c r="G47" s="8" t="s">
        <v>4</v>
      </c>
      <c r="H47" s="8" t="s">
        <v>5</v>
      </c>
      <c r="I47" s="1" t="s">
        <v>6</v>
      </c>
      <c r="J47" s="8" t="s">
        <v>7</v>
      </c>
      <c r="K47" s="1" t="s">
        <v>8</v>
      </c>
      <c r="L47" s="1" t="s">
        <v>25</v>
      </c>
      <c r="M47" s="1" t="s">
        <v>9</v>
      </c>
      <c r="N47" s="16"/>
    </row>
    <row r="48" spans="1:17" ht="15.75" customHeight="1" x14ac:dyDescent="0.25">
      <c r="A48" s="1" t="s">
        <v>10</v>
      </c>
      <c r="B48" s="2"/>
      <c r="C48" s="3">
        <v>9253.74</v>
      </c>
      <c r="D48" s="3">
        <v>811829.5</v>
      </c>
      <c r="E48" s="3">
        <v>399064.8</v>
      </c>
      <c r="F48" s="3">
        <v>45203.65</v>
      </c>
      <c r="G48" s="3">
        <v>38771.379999999997</v>
      </c>
      <c r="H48" s="3">
        <v>101359.88</v>
      </c>
      <c r="I48" s="3">
        <v>90175.14</v>
      </c>
      <c r="J48" s="3">
        <v>7745.54</v>
      </c>
      <c r="K48" s="12">
        <v>14108.08</v>
      </c>
      <c r="L48" s="12">
        <v>10880</v>
      </c>
      <c r="M48" s="12">
        <f>C48+D48-E48+F48+G48+H48+I48+J48+K48+L48</f>
        <v>730262.1100000001</v>
      </c>
      <c r="N48" s="46">
        <f>M48+M49+M50</f>
        <v>888509.71000000008</v>
      </c>
    </row>
    <row r="49" spans="1:14" ht="15.75" customHeight="1" x14ac:dyDescent="0.25">
      <c r="A49" s="1" t="s">
        <v>11</v>
      </c>
      <c r="B49" s="2"/>
      <c r="C49" s="3">
        <v>4064.69</v>
      </c>
      <c r="D49" s="3"/>
      <c r="E49" s="3"/>
      <c r="F49" s="3"/>
      <c r="G49" s="3"/>
      <c r="H49" s="3">
        <v>23462.75</v>
      </c>
      <c r="I49" s="3"/>
      <c r="J49" s="3"/>
      <c r="K49" s="12"/>
      <c r="L49" s="12"/>
      <c r="M49" s="12">
        <f>C49+D49-E49+F49+G49+H49+I49+J49+K49</f>
        <v>27527.439999999999</v>
      </c>
      <c r="N49" s="47"/>
    </row>
    <row r="50" spans="1:14" ht="15.75" customHeight="1" x14ac:dyDescent="0.25">
      <c r="A50" s="1" t="s">
        <v>21</v>
      </c>
      <c r="B50" s="2"/>
      <c r="C50" s="3">
        <v>130720.16</v>
      </c>
      <c r="D50" s="3"/>
      <c r="E50" s="3"/>
      <c r="F50" s="3"/>
      <c r="G50" s="3"/>
      <c r="H50" s="3"/>
      <c r="I50" s="3"/>
      <c r="J50" s="3"/>
      <c r="K50" s="12"/>
      <c r="L50" s="12"/>
      <c r="M50" s="12">
        <f>C50+D50-E50+F50+G50+H50+I50+J50+K50</f>
        <v>130720.16</v>
      </c>
      <c r="N50" s="48"/>
    </row>
    <row r="51" spans="1:14" ht="15.75" customHeight="1" x14ac:dyDescent="0.25">
      <c r="A51" s="1"/>
      <c r="B51" s="12"/>
      <c r="C51" s="9"/>
      <c r="D51" s="9"/>
      <c r="E51" s="9"/>
      <c r="F51" s="9"/>
      <c r="G51" s="9"/>
      <c r="H51" s="9"/>
      <c r="I51" s="9"/>
      <c r="J51" s="9"/>
      <c r="K51" s="12"/>
      <c r="L51" s="12"/>
      <c r="M51" s="12"/>
      <c r="N51" s="46"/>
    </row>
    <row r="52" spans="1:14" ht="15.75" customHeight="1" x14ac:dyDescent="0.25">
      <c r="A52" s="7">
        <v>44887</v>
      </c>
      <c r="B52" s="2"/>
      <c r="C52" s="8" t="s">
        <v>0</v>
      </c>
      <c r="D52" s="8" t="s">
        <v>1</v>
      </c>
      <c r="E52" s="8" t="s">
        <v>2</v>
      </c>
      <c r="F52" s="8" t="s">
        <v>3</v>
      </c>
      <c r="G52" s="8" t="s">
        <v>4</v>
      </c>
      <c r="H52" s="8" t="s">
        <v>5</v>
      </c>
      <c r="I52" s="1" t="s">
        <v>6</v>
      </c>
      <c r="J52" s="8" t="s">
        <v>7</v>
      </c>
      <c r="K52" s="1" t="s">
        <v>8</v>
      </c>
      <c r="L52" s="1" t="s">
        <v>25</v>
      </c>
      <c r="M52" s="1" t="s">
        <v>9</v>
      </c>
      <c r="N52" s="48"/>
    </row>
    <row r="53" spans="1:14" ht="15.75" customHeight="1" x14ac:dyDescent="0.25">
      <c r="A53" s="1" t="s">
        <v>10</v>
      </c>
      <c r="B53" s="2"/>
      <c r="C53" s="3">
        <v>5387.61</v>
      </c>
      <c r="D53" s="3">
        <v>816635</v>
      </c>
      <c r="E53" s="3">
        <v>398054.5</v>
      </c>
      <c r="F53" s="3">
        <v>47293.24</v>
      </c>
      <c r="G53" s="3">
        <v>41438.339999999997</v>
      </c>
      <c r="H53" s="3">
        <v>108435.56</v>
      </c>
      <c r="I53" s="3">
        <v>108905.58</v>
      </c>
      <c r="J53" s="3">
        <v>9354.3799999999992</v>
      </c>
      <c r="K53" s="12">
        <v>14399.91</v>
      </c>
      <c r="L53" s="12">
        <v>10912</v>
      </c>
      <c r="M53" s="12">
        <f>C53+D53-E53+F53+G53+H53+I53+J53+K53+L53</f>
        <v>764707.12</v>
      </c>
      <c r="N53" s="46">
        <f>M53+M54+M55</f>
        <v>928588.21</v>
      </c>
    </row>
    <row r="54" spans="1:14" ht="15.75" customHeight="1" x14ac:dyDescent="0.25">
      <c r="A54" s="1" t="s">
        <v>11</v>
      </c>
      <c r="B54" s="2"/>
      <c r="C54" s="3">
        <v>3616.07</v>
      </c>
      <c r="D54" s="3"/>
      <c r="E54" s="3"/>
      <c r="F54" s="3"/>
      <c r="G54" s="3"/>
      <c r="H54" s="3">
        <v>26218.5</v>
      </c>
      <c r="I54" s="3"/>
      <c r="J54" s="3"/>
      <c r="K54" s="12"/>
      <c r="L54" s="12"/>
      <c r="M54" s="12">
        <f>C54+D54-E54+F54+G54+H54+I54+J54+K54</f>
        <v>29834.57</v>
      </c>
      <c r="N54" s="47"/>
    </row>
    <row r="55" spans="1:14" ht="15.75" customHeight="1" x14ac:dyDescent="0.25">
      <c r="A55" s="1" t="s">
        <v>21</v>
      </c>
      <c r="B55" s="2"/>
      <c r="C55" s="3">
        <v>134046.51999999999</v>
      </c>
      <c r="D55" s="3"/>
      <c r="E55" s="3"/>
      <c r="F55" s="3"/>
      <c r="G55" s="3"/>
      <c r="H55" s="3"/>
      <c r="I55" s="3"/>
      <c r="J55" s="3"/>
      <c r="K55" s="12"/>
      <c r="L55" s="12"/>
      <c r="M55" s="12">
        <f>C55+D55-E55+F55+G55+H55+I55+J55+K55</f>
        <v>134046.51999999999</v>
      </c>
      <c r="N55" s="48"/>
    </row>
    <row r="56" spans="1:14" ht="15.75" customHeight="1" x14ac:dyDescent="0.25">
      <c r="A56" s="1"/>
      <c r="B56" s="12"/>
      <c r="C56" s="9"/>
      <c r="D56" s="9"/>
      <c r="E56" s="9"/>
      <c r="F56" s="9"/>
      <c r="G56" s="9"/>
      <c r="H56" s="9"/>
      <c r="I56" s="9"/>
      <c r="J56" s="9"/>
      <c r="K56" s="12"/>
      <c r="L56" s="12"/>
      <c r="M56" s="12"/>
      <c r="N56" s="46"/>
    </row>
    <row r="57" spans="1:14" ht="15.75" customHeight="1" x14ac:dyDescent="0.25">
      <c r="A57" s="7">
        <v>44905</v>
      </c>
      <c r="B57" s="2"/>
      <c r="C57" s="8" t="s">
        <v>0</v>
      </c>
      <c r="D57" s="8" t="s">
        <v>1</v>
      </c>
      <c r="E57" s="8" t="s">
        <v>2</v>
      </c>
      <c r="F57" s="8" t="s">
        <v>3</v>
      </c>
      <c r="G57" s="8" t="s">
        <v>4</v>
      </c>
      <c r="H57" s="8" t="s">
        <v>5</v>
      </c>
      <c r="I57" s="1" t="s">
        <v>6</v>
      </c>
      <c r="J57" s="8" t="s">
        <v>7</v>
      </c>
      <c r="K57" s="1" t="s">
        <v>8</v>
      </c>
      <c r="L57" s="1" t="s">
        <v>25</v>
      </c>
      <c r="M57" s="1" t="s">
        <v>9</v>
      </c>
      <c r="N57" s="48"/>
    </row>
    <row r="58" spans="1:14" ht="15.75" customHeight="1" x14ac:dyDescent="0.25">
      <c r="A58" s="1" t="s">
        <v>10</v>
      </c>
      <c r="B58" s="2"/>
      <c r="C58" s="3">
        <v>6697.06</v>
      </c>
      <c r="D58" s="3">
        <v>811786</v>
      </c>
      <c r="E58" s="3">
        <v>397041.89</v>
      </c>
      <c r="F58" s="3">
        <v>47930.01</v>
      </c>
      <c r="G58" s="3">
        <v>41801.08</v>
      </c>
      <c r="H58" s="3">
        <v>112961.57</v>
      </c>
      <c r="I58" s="3">
        <v>113080.59</v>
      </c>
      <c r="J58" s="3">
        <v>9712.99</v>
      </c>
      <c r="K58" s="12">
        <v>14516.64</v>
      </c>
      <c r="L58" s="12">
        <v>10940</v>
      </c>
      <c r="M58" s="12">
        <f>C58+D58-E58+F58+G58+H58+I58+J58+K58+L58</f>
        <v>772384.05</v>
      </c>
      <c r="N58" s="46">
        <f>M58+M59+M60</f>
        <v>934534.31</v>
      </c>
    </row>
    <row r="59" spans="1:14" ht="15.75" customHeight="1" x14ac:dyDescent="0.25">
      <c r="A59" s="1" t="s">
        <v>11</v>
      </c>
      <c r="B59" s="2"/>
      <c r="C59" s="3">
        <v>1000.65</v>
      </c>
      <c r="D59" s="3"/>
      <c r="E59" s="3"/>
      <c r="F59" s="3"/>
      <c r="G59" s="3"/>
      <c r="H59" s="3">
        <v>27151.88</v>
      </c>
      <c r="I59" s="3"/>
      <c r="J59" s="3"/>
      <c r="K59" s="12"/>
      <c r="L59" s="12"/>
      <c r="M59" s="12">
        <f>C59+D59-E59+F59+G59+H59+I59+J59+K59</f>
        <v>28152.530000000002</v>
      </c>
      <c r="N59" s="47"/>
    </row>
    <row r="60" spans="1:14" ht="15.75" customHeight="1" x14ac:dyDescent="0.25">
      <c r="A60" s="1" t="s">
        <v>21</v>
      </c>
      <c r="B60" s="2"/>
      <c r="C60" s="3">
        <v>133997.73000000001</v>
      </c>
      <c r="D60" s="3"/>
      <c r="E60" s="3"/>
      <c r="F60" s="3"/>
      <c r="G60" s="3"/>
      <c r="H60" s="3"/>
      <c r="I60" s="3"/>
      <c r="J60" s="3"/>
      <c r="K60" s="12"/>
      <c r="L60" s="12"/>
      <c r="M60" s="12">
        <f>C60+D60-E60+F60+G60+H60+I60+J60+K60</f>
        <v>133997.73000000001</v>
      </c>
      <c r="N60" s="48"/>
    </row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9">
    <mergeCell ref="N3:N4"/>
    <mergeCell ref="N21:N22"/>
    <mergeCell ref="N28:N30"/>
    <mergeCell ref="N5:N6"/>
    <mergeCell ref="N31:N32"/>
    <mergeCell ref="N11:N12"/>
    <mergeCell ref="N18:N20"/>
    <mergeCell ref="N58:N60"/>
    <mergeCell ref="N48:N50"/>
    <mergeCell ref="N51:N52"/>
    <mergeCell ref="N8:N10"/>
    <mergeCell ref="N33:N35"/>
    <mergeCell ref="N38:N40"/>
    <mergeCell ref="N23:N25"/>
    <mergeCell ref="N13:N15"/>
    <mergeCell ref="N56:N57"/>
    <mergeCell ref="N41:N42"/>
    <mergeCell ref="N53:N55"/>
    <mergeCell ref="N43:N4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5"/>
  <sheetViews>
    <sheetView workbookViewId="0">
      <selection activeCell="Q2" sqref="Q2"/>
    </sheetView>
  </sheetViews>
  <sheetFormatPr defaultColWidth="14.42578125" defaultRowHeight="15" customHeight="1" x14ac:dyDescent="0.25"/>
  <cols>
    <col min="1" max="1" width="7.5703125" customWidth="1"/>
    <col min="2" max="2" width="12.5703125" customWidth="1"/>
    <col min="3" max="3" width="11" customWidth="1"/>
    <col min="4" max="4" width="15.85546875" customWidth="1"/>
    <col min="5" max="6" width="11" customWidth="1"/>
    <col min="7" max="7" width="13.42578125" customWidth="1"/>
    <col min="8" max="8" width="11" customWidth="1"/>
    <col min="9" max="9" width="13.5703125" customWidth="1"/>
    <col min="10" max="10" width="12.5703125" customWidth="1"/>
    <col min="11" max="16" width="11" customWidth="1"/>
    <col min="17" max="17" width="13.5703125" customWidth="1"/>
    <col min="18" max="18" width="12.5703125" customWidth="1"/>
    <col min="19" max="19" width="14.85546875" customWidth="1"/>
    <col min="20" max="20" width="12.5703125" customWidth="1"/>
    <col min="21" max="21" width="14.85546875" customWidth="1"/>
    <col min="22" max="22" width="14" customWidth="1"/>
    <col min="23" max="23" width="14.140625" customWidth="1"/>
    <col min="24" max="32" width="8.7109375" customWidth="1"/>
  </cols>
  <sheetData>
    <row r="1" spans="1:23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 t="s">
        <v>36</v>
      </c>
      <c r="R1" s="3"/>
      <c r="S1" s="3"/>
      <c r="T1" s="3"/>
      <c r="U1" s="4"/>
      <c r="V1" s="5"/>
      <c r="W1" s="6"/>
    </row>
    <row r="2" spans="1:23" x14ac:dyDescent="0.25">
      <c r="A2" s="7">
        <v>45294</v>
      </c>
      <c r="B2" s="1"/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1" t="s">
        <v>6</v>
      </c>
      <c r="J2" s="8" t="s">
        <v>7</v>
      </c>
      <c r="K2" s="1" t="s">
        <v>8</v>
      </c>
      <c r="L2" s="1" t="s">
        <v>25</v>
      </c>
      <c r="M2" s="1" t="s">
        <v>26</v>
      </c>
      <c r="N2" s="1" t="s">
        <v>27</v>
      </c>
      <c r="O2" s="1"/>
      <c r="P2" s="1" t="s">
        <v>9</v>
      </c>
      <c r="Q2" s="8"/>
      <c r="R2" s="8"/>
      <c r="S2" s="8"/>
      <c r="T2" s="8"/>
      <c r="U2" s="8"/>
      <c r="V2" s="8"/>
      <c r="W2" s="1"/>
    </row>
    <row r="3" spans="1:23" x14ac:dyDescent="0.25">
      <c r="A3" s="1" t="s">
        <v>10</v>
      </c>
      <c r="B3" s="9"/>
      <c r="C3" s="9">
        <v>3529.12</v>
      </c>
      <c r="D3" s="9">
        <v>801095</v>
      </c>
      <c r="E3" s="10">
        <v>396026.96</v>
      </c>
      <c r="F3" s="9">
        <v>49889.69</v>
      </c>
      <c r="G3" s="9">
        <v>41882.26</v>
      </c>
      <c r="H3" s="9">
        <v>119141.33</v>
      </c>
      <c r="I3" s="9">
        <v>102771.36</v>
      </c>
      <c r="J3" s="9">
        <v>10146.81</v>
      </c>
      <c r="K3" s="12">
        <v>14677.15</v>
      </c>
      <c r="L3" s="12">
        <v>10972</v>
      </c>
      <c r="M3" s="12">
        <v>580.96</v>
      </c>
      <c r="N3" s="12">
        <v>3388.28</v>
      </c>
      <c r="O3" s="12"/>
      <c r="P3" s="12">
        <f>C3+D3-E3+F3+G3+H3+I3+J3+K3+L3+M3+N3</f>
        <v>762047</v>
      </c>
      <c r="Q3" s="46">
        <f>P3+P4+P5</f>
        <v>932647.4</v>
      </c>
      <c r="R3" s="18"/>
      <c r="S3" s="9"/>
      <c r="T3" s="18"/>
      <c r="U3" s="18"/>
      <c r="V3" s="4"/>
      <c r="W3" s="18"/>
    </row>
    <row r="4" spans="1:23" x14ac:dyDescent="0.25">
      <c r="A4" s="1" t="s">
        <v>11</v>
      </c>
      <c r="B4" s="5"/>
      <c r="C4" s="20">
        <v>431.38</v>
      </c>
      <c r="D4" s="1"/>
      <c r="E4" s="1"/>
      <c r="F4" s="1"/>
      <c r="G4" s="8"/>
      <c r="H4" s="5">
        <v>29167.119999999999</v>
      </c>
      <c r="I4" s="8"/>
      <c r="J4" s="8"/>
      <c r="K4" s="12"/>
      <c r="L4" s="12"/>
      <c r="M4" s="12"/>
      <c r="N4" s="12"/>
      <c r="O4" s="12"/>
      <c r="P4" s="12">
        <f>C4+D4-E4+F4+G4+H4+I4+J4+K4+L4</f>
        <v>29598.5</v>
      </c>
      <c r="Q4" s="48"/>
      <c r="R4" s="8"/>
      <c r="S4" s="8"/>
      <c r="T4" s="1"/>
      <c r="U4" s="8"/>
      <c r="V4" s="8"/>
      <c r="W4" s="1"/>
    </row>
    <row r="5" spans="1:23" ht="15.75" x14ac:dyDescent="0.25">
      <c r="A5" s="1" t="s">
        <v>21</v>
      </c>
      <c r="C5" s="9">
        <v>141001.9</v>
      </c>
      <c r="D5" s="9"/>
      <c r="E5" s="9"/>
      <c r="F5" s="9"/>
      <c r="G5" s="9"/>
      <c r="H5" s="9"/>
      <c r="I5" s="9"/>
      <c r="J5" s="9"/>
      <c r="K5" s="9"/>
      <c r="L5" s="12"/>
      <c r="M5" s="12"/>
      <c r="N5" s="12"/>
      <c r="O5" s="12"/>
      <c r="P5" s="12">
        <f>C5+D5-E5+F5+G5+H5+I5+J5+K5+L5</f>
        <v>141001.9</v>
      </c>
      <c r="Q5" s="46"/>
      <c r="R5" s="9"/>
      <c r="S5" s="9"/>
      <c r="T5" s="9"/>
      <c r="U5" s="18"/>
      <c r="V5" s="9"/>
      <c r="W5" s="21"/>
    </row>
    <row r="6" spans="1:23" x14ac:dyDescent="0.25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8"/>
      <c r="R6" s="3"/>
      <c r="S6" s="3"/>
      <c r="T6" s="3"/>
      <c r="U6" s="4"/>
      <c r="V6" s="5"/>
      <c r="W6" s="6"/>
    </row>
    <row r="7" spans="1:23" x14ac:dyDescent="0.25">
      <c r="A7" s="7">
        <v>44958</v>
      </c>
      <c r="B7" s="1"/>
      <c r="C7" s="8" t="s">
        <v>0</v>
      </c>
      <c r="D7" s="8" t="s">
        <v>1</v>
      </c>
      <c r="E7" s="8" t="s">
        <v>2</v>
      </c>
      <c r="F7" s="8" t="s">
        <v>3</v>
      </c>
      <c r="G7" s="8" t="s">
        <v>4</v>
      </c>
      <c r="H7" s="8" t="s">
        <v>5</v>
      </c>
      <c r="I7" s="1" t="s">
        <v>6</v>
      </c>
      <c r="J7" s="8" t="s">
        <v>7</v>
      </c>
      <c r="K7" s="1" t="s">
        <v>8</v>
      </c>
      <c r="L7" s="1" t="s">
        <v>25</v>
      </c>
      <c r="M7" s="1" t="s">
        <v>26</v>
      </c>
      <c r="N7" s="1" t="s">
        <v>27</v>
      </c>
      <c r="O7" s="1"/>
      <c r="P7" s="1" t="s">
        <v>9</v>
      </c>
      <c r="Q7" s="16"/>
      <c r="R7" s="8"/>
      <c r="S7" s="8"/>
      <c r="T7" s="8"/>
      <c r="U7" s="8"/>
      <c r="V7" s="8"/>
      <c r="W7" s="1"/>
    </row>
    <row r="8" spans="1:23" x14ac:dyDescent="0.25">
      <c r="A8" s="1" t="s">
        <v>10</v>
      </c>
      <c r="B8" s="9"/>
      <c r="C8" s="9">
        <v>5283.72</v>
      </c>
      <c r="D8" s="9">
        <v>805933</v>
      </c>
      <c r="E8" s="26">
        <v>394624.34</v>
      </c>
      <c r="F8" s="9">
        <v>50161.04</v>
      </c>
      <c r="G8" s="9">
        <v>44856.58</v>
      </c>
      <c r="H8" s="9">
        <v>120358.1</v>
      </c>
      <c r="I8" s="22">
        <v>108118.8</v>
      </c>
      <c r="J8" s="9">
        <v>9286.7999999999993</v>
      </c>
      <c r="K8" s="12">
        <v>14913.78</v>
      </c>
      <c r="L8" s="12">
        <v>11004</v>
      </c>
      <c r="M8" s="12">
        <v>579.22</v>
      </c>
      <c r="N8" s="12">
        <v>4522.82</v>
      </c>
      <c r="O8" s="12"/>
      <c r="P8" s="12">
        <f>C8+D8-E8+F8+G8+H8+I8+J8+K8+L8+M8+N8</f>
        <v>780393.52</v>
      </c>
      <c r="Q8" s="46">
        <f>P8+P9+P10</f>
        <v>957002.95</v>
      </c>
      <c r="R8" s="18"/>
      <c r="S8" s="9"/>
      <c r="T8" s="18"/>
      <c r="U8" s="18"/>
      <c r="V8" s="4"/>
      <c r="W8" s="18"/>
    </row>
    <row r="9" spans="1:23" x14ac:dyDescent="0.25">
      <c r="A9" s="1" t="s">
        <v>11</v>
      </c>
      <c r="B9" s="5"/>
      <c r="C9" s="25">
        <v>4716.9799999999996</v>
      </c>
      <c r="D9" s="1"/>
      <c r="E9" s="1"/>
      <c r="F9" s="1"/>
      <c r="G9" s="8"/>
      <c r="H9" s="5">
        <v>30811.89</v>
      </c>
      <c r="I9" s="8"/>
      <c r="J9" s="8"/>
      <c r="K9" s="12"/>
      <c r="L9" s="12"/>
      <c r="M9" s="12"/>
      <c r="N9" s="12"/>
      <c r="O9" s="12"/>
      <c r="P9" s="12">
        <f>C9+D9-E9+F9+G9+H9+I9+J9+K9</f>
        <v>35528.869999999995</v>
      </c>
      <c r="Q9" s="47"/>
      <c r="R9" s="8"/>
      <c r="S9" s="8"/>
      <c r="T9" s="1"/>
      <c r="U9" s="8"/>
      <c r="V9" s="8"/>
      <c r="W9" s="1"/>
    </row>
    <row r="10" spans="1:23" x14ac:dyDescent="0.25">
      <c r="A10" s="1" t="s">
        <v>21</v>
      </c>
      <c r="B10" s="12"/>
      <c r="C10" s="9">
        <v>141080.56</v>
      </c>
      <c r="D10" s="9"/>
      <c r="E10" s="9"/>
      <c r="F10" s="9"/>
      <c r="G10" s="9"/>
      <c r="H10" s="9"/>
      <c r="I10" s="9"/>
      <c r="J10" s="9"/>
      <c r="K10" s="12"/>
      <c r="L10" s="12"/>
      <c r="M10" s="12"/>
      <c r="N10" s="12"/>
      <c r="O10" s="12"/>
      <c r="P10" s="12">
        <f>C10+D10-E10+F10+G10+H10+I10+J10+K10</f>
        <v>141080.56</v>
      </c>
      <c r="Q10" s="48"/>
      <c r="R10" s="9"/>
      <c r="S10" s="9"/>
      <c r="T10" s="9"/>
      <c r="U10" s="18"/>
      <c r="V10" s="9"/>
      <c r="W10" s="18"/>
    </row>
    <row r="11" spans="1:23" x14ac:dyDescent="0.25">
      <c r="A11" s="7"/>
      <c r="B11" s="2"/>
      <c r="C11" s="8"/>
      <c r="D11" s="8"/>
      <c r="E11" s="8"/>
      <c r="F11" s="8"/>
      <c r="G11" s="8"/>
      <c r="H11" s="8"/>
      <c r="I11" s="1"/>
      <c r="J11" s="8"/>
      <c r="K11" s="1"/>
      <c r="L11" s="1"/>
      <c r="M11" s="1"/>
      <c r="N11" s="1"/>
      <c r="O11" s="1"/>
      <c r="P11" s="1"/>
      <c r="Q11" s="46"/>
      <c r="R11" s="3"/>
      <c r="S11" s="3"/>
      <c r="T11" s="3"/>
      <c r="U11" s="4"/>
      <c r="V11" s="5"/>
      <c r="W11" s="6"/>
    </row>
    <row r="12" spans="1:23" x14ac:dyDescent="0.25">
      <c r="A12" s="7">
        <v>44623</v>
      </c>
      <c r="B12" s="2"/>
      <c r="C12" s="8" t="s">
        <v>0</v>
      </c>
      <c r="D12" s="8" t="s">
        <v>1</v>
      </c>
      <c r="E12" s="8" t="s">
        <v>2</v>
      </c>
      <c r="F12" s="8" t="s">
        <v>3</v>
      </c>
      <c r="G12" s="8" t="s">
        <v>4</v>
      </c>
      <c r="H12" s="8" t="s">
        <v>5</v>
      </c>
      <c r="I12" s="1" t="s">
        <v>6</v>
      </c>
      <c r="J12" s="8" t="s">
        <v>7</v>
      </c>
      <c r="K12" s="1" t="s">
        <v>8</v>
      </c>
      <c r="L12" s="1" t="s">
        <v>25</v>
      </c>
      <c r="M12" s="1" t="s">
        <v>26</v>
      </c>
      <c r="N12" s="1" t="s">
        <v>27</v>
      </c>
      <c r="O12" s="1"/>
      <c r="P12" s="1" t="s">
        <v>9</v>
      </c>
      <c r="Q12" s="48"/>
      <c r="R12" s="3"/>
      <c r="S12" s="3"/>
      <c r="T12" s="3"/>
      <c r="U12" s="4"/>
      <c r="V12" s="5"/>
      <c r="W12" s="6"/>
    </row>
    <row r="13" spans="1:23" x14ac:dyDescent="0.25">
      <c r="A13" s="1" t="s">
        <v>10</v>
      </c>
      <c r="B13" s="2"/>
      <c r="C13" s="3">
        <v>2306.65</v>
      </c>
      <c r="D13" s="3">
        <v>797142</v>
      </c>
      <c r="E13" s="3">
        <v>393589.65</v>
      </c>
      <c r="F13" s="3">
        <v>53152.39</v>
      </c>
      <c r="G13" s="3">
        <v>49626.25</v>
      </c>
      <c r="H13" s="3">
        <v>128430.41</v>
      </c>
      <c r="I13" s="3">
        <v>97041.600000000006</v>
      </c>
      <c r="J13" s="3">
        <v>9581.1</v>
      </c>
      <c r="K13" s="12">
        <v>15183.88</v>
      </c>
      <c r="L13" s="12">
        <v>11040</v>
      </c>
      <c r="M13" s="12">
        <v>678.37</v>
      </c>
      <c r="N13" s="12">
        <v>5205.74</v>
      </c>
      <c r="O13" s="12"/>
      <c r="P13" s="12">
        <f>C13+D13-E13+F13+G13+H13+I13+J13+K13+L13+M13+N13</f>
        <v>775798.74</v>
      </c>
      <c r="Q13" s="46">
        <f>P13+P14+P15</f>
        <v>938273.38</v>
      </c>
      <c r="R13" s="3"/>
      <c r="S13" s="3"/>
      <c r="T13" s="3"/>
      <c r="U13" s="4"/>
    </row>
    <row r="14" spans="1:23" x14ac:dyDescent="0.25">
      <c r="A14" s="1" t="s">
        <v>11</v>
      </c>
      <c r="B14" s="2"/>
      <c r="C14" s="3">
        <v>208</v>
      </c>
      <c r="D14" s="3"/>
      <c r="E14" s="3"/>
      <c r="F14" s="3"/>
      <c r="G14" s="3"/>
      <c r="H14" s="3">
        <v>33306.379999999997</v>
      </c>
      <c r="I14" s="3"/>
      <c r="J14" s="3"/>
      <c r="K14" s="12"/>
      <c r="L14" s="12"/>
      <c r="M14" s="12"/>
      <c r="N14" s="12"/>
      <c r="O14" s="12"/>
      <c r="P14" s="12">
        <f>C14+D14-E14+F14+G14+H14+I14+J14+K14</f>
        <v>33514.379999999997</v>
      </c>
      <c r="Q14" s="47"/>
      <c r="R14" s="3"/>
      <c r="S14" s="3"/>
      <c r="T14" s="3"/>
      <c r="U14" s="4"/>
    </row>
    <row r="15" spans="1:23" x14ac:dyDescent="0.25">
      <c r="A15" s="1" t="s">
        <v>21</v>
      </c>
      <c r="B15" s="12"/>
      <c r="C15" s="9">
        <v>128960.26</v>
      </c>
      <c r="D15" s="9"/>
      <c r="E15" s="9"/>
      <c r="F15" s="9"/>
      <c r="G15" s="9"/>
      <c r="H15" s="9"/>
      <c r="I15" s="9"/>
      <c r="J15" s="9"/>
      <c r="K15" s="12"/>
      <c r="L15" s="12"/>
      <c r="M15" s="12"/>
      <c r="N15" s="12"/>
      <c r="O15" s="12"/>
      <c r="P15" s="12">
        <f>C15+D15-E15+F15+G15+H15+I15+J15+K15</f>
        <v>128960.26</v>
      </c>
      <c r="Q15" s="48"/>
    </row>
    <row r="16" spans="1:23" x14ac:dyDescent="0.25">
      <c r="A16" s="7"/>
      <c r="B16" s="2"/>
      <c r="C16" s="8"/>
      <c r="D16" s="8"/>
      <c r="E16" s="8"/>
      <c r="F16" s="8"/>
      <c r="G16" s="8"/>
      <c r="H16" s="8"/>
      <c r="I16" s="1"/>
      <c r="J16" s="8"/>
      <c r="K16" s="1"/>
      <c r="L16" s="1"/>
      <c r="M16" s="1"/>
      <c r="N16" s="1"/>
      <c r="O16" s="1"/>
      <c r="P16" s="1"/>
      <c r="Q16" s="35"/>
    </row>
    <row r="17" spans="1:20" x14ac:dyDescent="0.25">
      <c r="A17" s="7">
        <v>45383</v>
      </c>
      <c r="B17" s="2"/>
      <c r="C17" s="8" t="s">
        <v>0</v>
      </c>
      <c r="D17" s="8" t="s">
        <v>1</v>
      </c>
      <c r="E17" s="8" t="s">
        <v>2</v>
      </c>
      <c r="F17" s="8" t="s">
        <v>3</v>
      </c>
      <c r="G17" s="8" t="s">
        <v>4</v>
      </c>
      <c r="H17" s="8" t="s">
        <v>5</v>
      </c>
      <c r="I17" s="1" t="s">
        <v>6</v>
      </c>
      <c r="J17" s="8" t="s">
        <v>7</v>
      </c>
      <c r="K17" s="1" t="s">
        <v>8</v>
      </c>
      <c r="L17" s="32" t="s">
        <v>25</v>
      </c>
      <c r="M17" s="1" t="s">
        <v>26</v>
      </c>
      <c r="N17" s="1" t="s">
        <v>27</v>
      </c>
      <c r="O17" s="1"/>
      <c r="P17" s="1" t="s">
        <v>9</v>
      </c>
      <c r="Q17" s="16"/>
    </row>
    <row r="18" spans="1:20" x14ac:dyDescent="0.25">
      <c r="A18" s="1" t="s">
        <v>10</v>
      </c>
      <c r="B18" s="2"/>
      <c r="C18" s="3">
        <v>2118.89</v>
      </c>
      <c r="D18" s="3">
        <v>814106.5</v>
      </c>
      <c r="E18" s="36">
        <v>392187.99</v>
      </c>
      <c r="F18" s="3">
        <v>54331.4</v>
      </c>
      <c r="G18" s="3">
        <v>48872.78</v>
      </c>
      <c r="H18" s="3">
        <v>133347.04999999999</v>
      </c>
      <c r="I18" s="3">
        <v>59728.32</v>
      </c>
      <c r="J18" s="3">
        <v>9731.52</v>
      </c>
      <c r="K18" s="12">
        <v>60498.49</v>
      </c>
      <c r="L18" s="37">
        <v>11076</v>
      </c>
      <c r="M18" s="37">
        <v>1628</v>
      </c>
      <c r="N18" s="37">
        <v>5443.52</v>
      </c>
      <c r="O18" s="37"/>
      <c r="P18" s="12">
        <f>C18+D18-E18+F18+G18+H18+I18+J18+K18+L18+M18+N18</f>
        <v>808694.4800000001</v>
      </c>
      <c r="Q18" s="46">
        <f>P18+P19+P20</f>
        <v>989216.8600000001</v>
      </c>
    </row>
    <row r="19" spans="1:20" x14ac:dyDescent="0.25">
      <c r="A19" s="1" t="s">
        <v>11</v>
      </c>
      <c r="B19" s="2"/>
      <c r="C19" s="3">
        <v>2981.16</v>
      </c>
      <c r="D19" s="3"/>
      <c r="E19" s="3"/>
      <c r="F19" s="3"/>
      <c r="G19" s="3"/>
      <c r="H19" s="3">
        <v>34536.04</v>
      </c>
      <c r="I19" s="3"/>
      <c r="J19" s="3"/>
      <c r="K19" s="12"/>
      <c r="L19" s="12"/>
      <c r="M19" s="12"/>
      <c r="N19" s="12"/>
      <c r="O19" s="12"/>
      <c r="P19" s="12">
        <f>C19+D19-E19+F19+G19+H19+I19+J19+K19</f>
        <v>37517.199999999997</v>
      </c>
      <c r="Q19" s="47"/>
    </row>
    <row r="20" spans="1:20" x14ac:dyDescent="0.25">
      <c r="A20" s="1" t="s">
        <v>21</v>
      </c>
      <c r="B20" s="12"/>
      <c r="C20" s="9">
        <v>143005.18</v>
      </c>
      <c r="D20" s="9"/>
      <c r="E20" s="9"/>
      <c r="F20" s="9"/>
      <c r="G20" s="9"/>
      <c r="H20" s="9"/>
      <c r="I20" s="9"/>
      <c r="J20" s="9"/>
      <c r="K20" s="12"/>
      <c r="L20" s="12"/>
      <c r="M20" s="12"/>
      <c r="N20" s="12"/>
      <c r="O20" s="12"/>
      <c r="P20" s="12">
        <f>C20+D20-E20+F20+G20+H20+I20+J20+K20</f>
        <v>143005.18</v>
      </c>
      <c r="Q20" s="48"/>
      <c r="S20" s="30" t="s">
        <v>12</v>
      </c>
      <c r="T20" s="30">
        <f>(3513.85*2)+(2487*2)</f>
        <v>12001.7</v>
      </c>
    </row>
    <row r="21" spans="1:20" x14ac:dyDescent="0.25">
      <c r="A21" s="7"/>
      <c r="B21" s="2"/>
      <c r="C21" s="8"/>
      <c r="D21" s="8"/>
      <c r="E21" s="8"/>
      <c r="F21" s="8"/>
      <c r="G21" s="8"/>
      <c r="H21" s="8"/>
      <c r="I21" s="1"/>
      <c r="J21" s="8"/>
      <c r="K21" s="1"/>
      <c r="L21" s="1"/>
      <c r="M21" s="1"/>
      <c r="N21" s="1"/>
      <c r="O21" s="1"/>
      <c r="P21" s="1"/>
      <c r="Q21" s="46"/>
      <c r="S21" s="30"/>
      <c r="T21" s="30"/>
    </row>
    <row r="22" spans="1:20" x14ac:dyDescent="0.25">
      <c r="A22" s="7">
        <v>45054</v>
      </c>
      <c r="B22" s="2"/>
      <c r="C22" s="8" t="s">
        <v>0</v>
      </c>
      <c r="D22" s="8" t="s">
        <v>1</v>
      </c>
      <c r="E22" s="8" t="s">
        <v>2</v>
      </c>
      <c r="F22" s="8" t="s">
        <v>3</v>
      </c>
      <c r="G22" s="8" t="s">
        <v>4</v>
      </c>
      <c r="H22" s="8" t="s">
        <v>5</v>
      </c>
      <c r="I22" s="1" t="s">
        <v>6</v>
      </c>
      <c r="J22" s="8" t="s">
        <v>7</v>
      </c>
      <c r="K22" s="1" t="s">
        <v>8</v>
      </c>
      <c r="L22" s="32" t="s">
        <v>25</v>
      </c>
      <c r="M22" s="1" t="s">
        <v>26</v>
      </c>
      <c r="N22" s="1" t="s">
        <v>27</v>
      </c>
      <c r="O22" s="1"/>
      <c r="P22" s="1" t="s">
        <v>9</v>
      </c>
      <c r="Q22" s="48"/>
      <c r="S22" s="30" t="s">
        <v>2</v>
      </c>
      <c r="T22" s="30">
        <v>-2578.0300000000002</v>
      </c>
    </row>
    <row r="23" spans="1:20" x14ac:dyDescent="0.25">
      <c r="A23" s="1" t="s">
        <v>10</v>
      </c>
      <c r="B23" s="2"/>
      <c r="C23" s="3">
        <v>1620.24</v>
      </c>
      <c r="D23" s="3">
        <v>816100</v>
      </c>
      <c r="E23" s="3">
        <v>391141.16</v>
      </c>
      <c r="F23" s="3">
        <v>52287.03</v>
      </c>
      <c r="G23" s="3">
        <v>47124.59</v>
      </c>
      <c r="H23" s="3">
        <v>129699.52</v>
      </c>
      <c r="I23" s="3">
        <v>54704.13</v>
      </c>
      <c r="J23" s="3">
        <v>8912.93</v>
      </c>
      <c r="K23" s="12">
        <v>59096.33</v>
      </c>
      <c r="L23" s="37">
        <v>11112</v>
      </c>
      <c r="M23" s="37">
        <v>1120.72</v>
      </c>
      <c r="N23" s="37">
        <v>5416.98</v>
      </c>
      <c r="O23" s="37"/>
      <c r="P23" s="12">
        <f>C23+D23-E23+F23+G23+H23+I23+J23+K23+L23+M23+N23</f>
        <v>796053.30999999994</v>
      </c>
      <c r="Q23" s="46">
        <f>P23+P24+P25</f>
        <v>974865.25999999989</v>
      </c>
      <c r="S23" s="30" t="s">
        <v>13</v>
      </c>
      <c r="T23" s="30">
        <v>-49</v>
      </c>
    </row>
    <row r="24" spans="1:20" ht="15.75" customHeight="1" x14ac:dyDescent="0.25">
      <c r="A24" s="1" t="s">
        <v>11</v>
      </c>
      <c r="B24" s="2"/>
      <c r="C24" s="3">
        <v>9813.5</v>
      </c>
      <c r="D24" s="3"/>
      <c r="E24" s="3"/>
      <c r="F24" s="3"/>
      <c r="G24" s="3"/>
      <c r="H24" s="3">
        <v>33988.32</v>
      </c>
      <c r="I24" s="3"/>
      <c r="J24" s="3"/>
      <c r="K24" s="12"/>
      <c r="L24" s="12"/>
      <c r="M24" s="12"/>
      <c r="N24" s="12"/>
      <c r="O24" s="12"/>
      <c r="P24" s="12">
        <f>C24+D24-E24+F24+G24+H24+I24+J24+K24</f>
        <v>43801.82</v>
      </c>
      <c r="Q24" s="47"/>
      <c r="S24" s="30" t="s">
        <v>14</v>
      </c>
      <c r="T24" s="30">
        <v>-50</v>
      </c>
    </row>
    <row r="25" spans="1:20" ht="15.75" customHeight="1" x14ac:dyDescent="0.25">
      <c r="A25" s="1" t="s">
        <v>21</v>
      </c>
      <c r="B25" s="12"/>
      <c r="C25" s="9">
        <v>135010.13</v>
      </c>
      <c r="D25" s="9"/>
      <c r="E25" s="9"/>
      <c r="F25" s="9"/>
      <c r="G25" s="9"/>
      <c r="H25" s="9"/>
      <c r="I25" s="9"/>
      <c r="J25" s="9"/>
      <c r="K25" s="12"/>
      <c r="L25" s="12"/>
      <c r="M25" s="12"/>
      <c r="N25" s="12"/>
      <c r="O25" s="12"/>
      <c r="P25" s="12">
        <f>C25+D25-E25+F25+G25+H25+I25+J25+K25</f>
        <v>135010.13</v>
      </c>
      <c r="Q25" s="48"/>
      <c r="S25" s="30" t="s">
        <v>15</v>
      </c>
      <c r="T25" s="30">
        <v>-100</v>
      </c>
    </row>
    <row r="26" spans="1:20" ht="15.75" customHeight="1" x14ac:dyDescent="0.25">
      <c r="A26" s="7"/>
      <c r="B26" s="2"/>
      <c r="C26" s="8"/>
      <c r="D26" s="8"/>
      <c r="E26" s="8"/>
      <c r="F26" s="8"/>
      <c r="G26" s="8"/>
      <c r="H26" s="8"/>
      <c r="I26" s="1"/>
      <c r="J26" s="8"/>
      <c r="K26" s="1"/>
      <c r="L26" s="1"/>
      <c r="M26" s="1"/>
      <c r="N26" s="1"/>
      <c r="O26" s="1"/>
      <c r="P26" s="1"/>
      <c r="Q26" s="35"/>
      <c r="S26" s="30" t="s">
        <v>22</v>
      </c>
      <c r="T26" s="30">
        <v>-192.24</v>
      </c>
    </row>
    <row r="27" spans="1:20" ht="15.75" customHeight="1" x14ac:dyDescent="0.25">
      <c r="A27" s="7">
        <v>45445</v>
      </c>
      <c r="B27" s="2"/>
      <c r="C27" s="8" t="s">
        <v>0</v>
      </c>
      <c r="D27" s="8" t="s">
        <v>1</v>
      </c>
      <c r="E27" s="8" t="s">
        <v>2</v>
      </c>
      <c r="F27" s="8" t="s">
        <v>3</v>
      </c>
      <c r="G27" s="8" t="s">
        <v>4</v>
      </c>
      <c r="H27" s="8" t="s">
        <v>5</v>
      </c>
      <c r="I27" s="1" t="s">
        <v>6</v>
      </c>
      <c r="J27" s="8" t="s">
        <v>7</v>
      </c>
      <c r="K27" s="1" t="s">
        <v>8</v>
      </c>
      <c r="L27" s="1" t="s">
        <v>23</v>
      </c>
      <c r="M27" s="1" t="s">
        <v>26</v>
      </c>
      <c r="N27" s="1" t="s">
        <v>27</v>
      </c>
      <c r="O27" s="1"/>
      <c r="P27" s="1" t="s">
        <v>9</v>
      </c>
      <c r="Q27" s="16"/>
      <c r="S27" s="30" t="s">
        <v>16</v>
      </c>
      <c r="T27" s="30">
        <v>-100</v>
      </c>
    </row>
    <row r="28" spans="1:20" ht="15.75" customHeight="1" x14ac:dyDescent="0.25">
      <c r="A28" s="1" t="s">
        <v>10</v>
      </c>
      <c r="B28" s="2"/>
      <c r="C28" s="3">
        <v>4470.8100000000004</v>
      </c>
      <c r="D28" s="3">
        <v>833824.5</v>
      </c>
      <c r="E28" s="36">
        <v>389912.71</v>
      </c>
      <c r="F28" s="3">
        <v>53863.91</v>
      </c>
      <c r="G28" s="3">
        <v>51405.93</v>
      </c>
      <c r="H28" s="3">
        <v>135212.64000000001</v>
      </c>
      <c r="I28" s="3">
        <v>66900.69</v>
      </c>
      <c r="J28" s="3">
        <v>10901.09</v>
      </c>
      <c r="K28" s="12">
        <v>60990.47</v>
      </c>
      <c r="L28" s="12">
        <v>11148</v>
      </c>
      <c r="M28" s="12">
        <v>1787.61</v>
      </c>
      <c r="N28" s="12">
        <v>5721.74</v>
      </c>
      <c r="O28" s="12"/>
      <c r="P28" s="12">
        <f>C28+D28-E28+F28+G28+H28+I28+J28+K28+L28+M28+N28</f>
        <v>846314.67999999993</v>
      </c>
      <c r="Q28" s="46">
        <f>P28+P29+P30</f>
        <v>1029364.5099999999</v>
      </c>
      <c r="S28" s="30" t="s">
        <v>17</v>
      </c>
      <c r="T28" s="30">
        <v>-70</v>
      </c>
    </row>
    <row r="29" spans="1:20" ht="15.75" customHeight="1" x14ac:dyDescent="0.25">
      <c r="A29" s="1" t="s">
        <v>11</v>
      </c>
      <c r="B29" s="2"/>
      <c r="C29" s="3">
        <v>14314.29</v>
      </c>
      <c r="D29" s="3"/>
      <c r="E29" s="3"/>
      <c r="F29" s="3"/>
      <c r="G29" s="3"/>
      <c r="H29" s="3">
        <v>34955.300000000003</v>
      </c>
      <c r="I29" s="3"/>
      <c r="J29" s="3"/>
      <c r="K29" s="12"/>
      <c r="L29" s="12"/>
      <c r="M29" s="12"/>
      <c r="N29" s="12"/>
      <c r="O29" s="12"/>
      <c r="P29" s="12">
        <f>C29+D29-E29+F29+G29+H29+I29+J29+K29</f>
        <v>49269.590000000004</v>
      </c>
      <c r="Q29" s="47"/>
      <c r="S29" s="30" t="s">
        <v>18</v>
      </c>
      <c r="T29" s="30">
        <v>-553</v>
      </c>
    </row>
    <row r="30" spans="1:20" ht="15.75" customHeight="1" x14ac:dyDescent="0.25">
      <c r="A30" s="1" t="s">
        <v>21</v>
      </c>
      <c r="B30" s="12"/>
      <c r="C30" s="9">
        <v>133780.24</v>
      </c>
      <c r="D30" s="9"/>
      <c r="E30" s="9"/>
      <c r="F30" s="9"/>
      <c r="G30" s="9"/>
      <c r="H30" s="9"/>
      <c r="I30" s="9"/>
      <c r="J30" s="9"/>
      <c r="K30" s="12"/>
      <c r="L30" s="12"/>
      <c r="M30" s="12"/>
      <c r="N30" s="12"/>
      <c r="O30" s="12"/>
      <c r="P30" s="12">
        <f>C30+D30-E30+F30+G30+H30+I30+J30+K30</f>
        <v>133780.24</v>
      </c>
      <c r="Q30" s="48"/>
      <c r="S30" s="30" t="s">
        <v>19</v>
      </c>
      <c r="T30" s="30">
        <v>-150</v>
      </c>
    </row>
    <row r="31" spans="1:20" ht="15.75" customHeight="1" x14ac:dyDescent="0.25">
      <c r="A31" s="7"/>
      <c r="B31" s="2"/>
      <c r="C31" s="8"/>
      <c r="D31" s="8"/>
      <c r="E31" s="8"/>
      <c r="F31" s="8"/>
      <c r="G31" s="8"/>
      <c r="H31" s="8"/>
      <c r="I31" s="1"/>
      <c r="J31" s="8"/>
      <c r="K31" s="1"/>
      <c r="L31" s="1"/>
      <c r="M31" s="1"/>
      <c r="N31" s="1"/>
      <c r="O31" s="1"/>
      <c r="P31" s="1"/>
      <c r="Q31" s="46"/>
      <c r="S31" s="30" t="s">
        <v>24</v>
      </c>
      <c r="T31" s="30">
        <v>-200.96</v>
      </c>
    </row>
    <row r="32" spans="1:20" ht="15.75" customHeight="1" x14ac:dyDescent="0.25">
      <c r="A32" s="7">
        <v>45480</v>
      </c>
      <c r="B32" s="2"/>
      <c r="C32" s="8" t="s">
        <v>0</v>
      </c>
      <c r="D32" s="8" t="s">
        <v>1</v>
      </c>
      <c r="E32" s="8" t="s">
        <v>2</v>
      </c>
      <c r="F32" s="8" t="s">
        <v>3</v>
      </c>
      <c r="G32" s="8" t="s">
        <v>4</v>
      </c>
      <c r="H32" s="8" t="s">
        <v>5</v>
      </c>
      <c r="I32" s="1" t="s">
        <v>6</v>
      </c>
      <c r="J32" s="8" t="s">
        <v>7</v>
      </c>
      <c r="K32" s="1" t="s">
        <v>8</v>
      </c>
      <c r="L32" s="1" t="s">
        <v>25</v>
      </c>
      <c r="M32" s="1" t="s">
        <v>26</v>
      </c>
      <c r="N32" s="1" t="s">
        <v>27</v>
      </c>
      <c r="O32" s="1"/>
      <c r="P32" s="1" t="s">
        <v>9</v>
      </c>
      <c r="Q32" s="48"/>
      <c r="S32" s="30" t="s">
        <v>28</v>
      </c>
      <c r="T32" s="30">
        <v>-2400</v>
      </c>
    </row>
    <row r="33" spans="1:20" ht="15.75" customHeight="1" x14ac:dyDescent="0.25">
      <c r="A33" s="1" t="s">
        <v>10</v>
      </c>
      <c r="B33" s="2"/>
      <c r="C33" s="3">
        <v>3732.94</v>
      </c>
      <c r="D33" s="3">
        <v>840708</v>
      </c>
      <c r="E33" s="3">
        <v>388681.44</v>
      </c>
      <c r="F33" s="3">
        <v>55477.36</v>
      </c>
      <c r="G33" s="3">
        <v>59243.66</v>
      </c>
      <c r="H33" s="3">
        <v>137490.51</v>
      </c>
      <c r="I33" s="39">
        <v>25808.75</v>
      </c>
      <c r="J33" s="3">
        <v>0</v>
      </c>
      <c r="K33" s="12">
        <v>62943.57</v>
      </c>
      <c r="L33" s="12">
        <v>11184</v>
      </c>
      <c r="M33" s="12">
        <v>2366.1999999999998</v>
      </c>
      <c r="N33" s="12">
        <v>6563.86</v>
      </c>
      <c r="O33" s="12"/>
      <c r="P33" s="12">
        <f>C33+D33-E33+F33+G33+H33+I33+J33+K33+L33+M33+N33</f>
        <v>816837.4099999998</v>
      </c>
      <c r="Q33" s="46">
        <f>P33+P34+P35</f>
        <v>1091722.2799999998</v>
      </c>
      <c r="S33" s="30" t="s">
        <v>29</v>
      </c>
      <c r="T33" s="30">
        <v>-120</v>
      </c>
    </row>
    <row r="34" spans="1:20" ht="15.75" customHeight="1" x14ac:dyDescent="0.25">
      <c r="A34" s="1" t="s">
        <v>11</v>
      </c>
      <c r="B34" s="2"/>
      <c r="C34" s="3">
        <v>1663.07</v>
      </c>
      <c r="D34" s="3"/>
      <c r="E34" s="3"/>
      <c r="F34" s="3"/>
      <c r="G34" s="3"/>
      <c r="H34" s="3">
        <v>39056.93</v>
      </c>
      <c r="I34" s="3"/>
      <c r="J34" s="3"/>
      <c r="K34" s="12"/>
      <c r="L34" s="12"/>
      <c r="M34" s="12"/>
      <c r="N34" s="12"/>
      <c r="O34" s="12"/>
      <c r="P34" s="12">
        <f>C34+D34-E34+F34+G34+H34+I34+J34+K34</f>
        <v>40720</v>
      </c>
      <c r="Q34" s="47"/>
      <c r="S34" s="30" t="s">
        <v>20</v>
      </c>
      <c r="T34" s="30">
        <v>-550</v>
      </c>
    </row>
    <row r="35" spans="1:20" ht="15.75" customHeight="1" x14ac:dyDescent="0.25">
      <c r="A35" s="1" t="s">
        <v>21</v>
      </c>
      <c r="B35" s="2"/>
      <c r="C35" s="3">
        <v>234164.87</v>
      </c>
      <c r="D35" s="3"/>
      <c r="E35" s="3"/>
      <c r="F35" s="3"/>
      <c r="G35" s="3"/>
      <c r="H35" s="3"/>
      <c r="I35" s="3"/>
      <c r="J35" s="3"/>
      <c r="K35" s="12"/>
      <c r="L35" s="12"/>
      <c r="M35" s="12"/>
      <c r="N35" s="12"/>
      <c r="O35" s="12"/>
      <c r="P35" s="12">
        <f>C35+D35-E35+F35+G35+H35+I35+J35+K35</f>
        <v>234164.87</v>
      </c>
      <c r="Q35" s="48"/>
      <c r="T35" s="30">
        <f>SUM(T20:T34)</f>
        <v>4888.47</v>
      </c>
    </row>
    <row r="36" spans="1:20" ht="15.75" customHeight="1" x14ac:dyDescent="0.25">
      <c r="A36" s="1"/>
      <c r="B36" s="12"/>
      <c r="C36" s="9"/>
      <c r="D36" s="9"/>
      <c r="E36" s="9"/>
      <c r="F36" s="9"/>
      <c r="G36" s="9"/>
      <c r="H36" s="9"/>
      <c r="I36" s="9"/>
      <c r="J36" s="9"/>
      <c r="K36" s="12"/>
      <c r="L36" s="12"/>
      <c r="M36" s="12"/>
      <c r="N36" s="12"/>
      <c r="O36" s="12"/>
      <c r="P36" s="12"/>
      <c r="Q36" s="35"/>
    </row>
    <row r="37" spans="1:20" ht="15.75" customHeight="1" x14ac:dyDescent="0.25">
      <c r="A37" s="7">
        <v>44774</v>
      </c>
      <c r="B37" s="2"/>
      <c r="C37" s="8" t="s">
        <v>0</v>
      </c>
      <c r="D37" s="8" t="s">
        <v>1</v>
      </c>
      <c r="E37" s="8" t="s">
        <v>2</v>
      </c>
      <c r="F37" s="8" t="s">
        <v>3</v>
      </c>
      <c r="G37" s="8" t="s">
        <v>4</v>
      </c>
      <c r="H37" s="8" t="s">
        <v>5</v>
      </c>
      <c r="I37" s="1" t="s">
        <v>6</v>
      </c>
      <c r="J37" s="8" t="s">
        <v>7</v>
      </c>
      <c r="K37" s="1" t="s">
        <v>8</v>
      </c>
      <c r="L37" s="1" t="s">
        <v>25</v>
      </c>
      <c r="M37" s="1" t="s">
        <v>26</v>
      </c>
      <c r="N37" s="1" t="s">
        <v>27</v>
      </c>
      <c r="O37" s="1"/>
      <c r="P37" s="1" t="s">
        <v>9</v>
      </c>
      <c r="Q37" s="16"/>
    </row>
    <row r="38" spans="1:20" ht="15.75" customHeight="1" x14ac:dyDescent="0.25">
      <c r="A38" s="1" t="s">
        <v>10</v>
      </c>
      <c r="B38" s="2"/>
      <c r="C38" s="3">
        <v>3113.11</v>
      </c>
      <c r="D38" s="3">
        <v>857188.5</v>
      </c>
      <c r="E38" s="3">
        <v>387271.01</v>
      </c>
      <c r="F38" s="3">
        <v>56108.27</v>
      </c>
      <c r="G38" s="3">
        <v>52448.01</v>
      </c>
      <c r="H38" s="3">
        <v>145515.73000000001</v>
      </c>
      <c r="I38" s="3">
        <v>23963.5</v>
      </c>
      <c r="J38" s="3">
        <v>0</v>
      </c>
      <c r="K38" s="12">
        <v>61944.37</v>
      </c>
      <c r="L38" s="12">
        <v>11220</v>
      </c>
      <c r="M38" s="12">
        <v>1920.4</v>
      </c>
      <c r="N38" s="12">
        <v>6700.16</v>
      </c>
      <c r="O38" s="12"/>
      <c r="P38" s="12">
        <f>C38+D38-E38+F38+G38+H38+I38+J38+K38+L38+M38+N38</f>
        <v>832851.04</v>
      </c>
      <c r="Q38" s="46">
        <f>P38+P39+P40</f>
        <v>1106231.6800000002</v>
      </c>
    </row>
    <row r="39" spans="1:20" ht="15.75" customHeight="1" x14ac:dyDescent="0.25">
      <c r="A39" s="1" t="s">
        <v>11</v>
      </c>
      <c r="B39" s="2"/>
      <c r="C39" s="3">
        <v>6538.4</v>
      </c>
      <c r="D39" s="3"/>
      <c r="E39" s="3"/>
      <c r="F39" s="3"/>
      <c r="G39" s="3"/>
      <c r="H39" s="3">
        <v>40669</v>
      </c>
      <c r="I39" s="3"/>
      <c r="J39" s="3"/>
      <c r="K39" s="12"/>
      <c r="L39" s="12"/>
      <c r="M39" s="12"/>
      <c r="N39" s="12"/>
      <c r="O39" s="12"/>
      <c r="P39" s="12">
        <f>C39+D39-E39+F39+G39+H39+I39+J39+K39</f>
        <v>47207.4</v>
      </c>
      <c r="Q39" s="47"/>
    </row>
    <row r="40" spans="1:20" ht="15.75" customHeight="1" x14ac:dyDescent="0.25">
      <c r="A40" s="1" t="s">
        <v>21</v>
      </c>
      <c r="B40" s="2"/>
      <c r="C40" s="3">
        <v>226173.24</v>
      </c>
      <c r="D40" s="3"/>
      <c r="E40" s="3"/>
      <c r="F40" s="3"/>
      <c r="G40" s="3"/>
      <c r="H40" s="3"/>
      <c r="I40" s="3"/>
      <c r="J40" s="3"/>
      <c r="K40" s="12"/>
      <c r="L40" s="12"/>
      <c r="M40" s="12"/>
      <c r="N40" s="12"/>
      <c r="O40" s="12"/>
      <c r="P40" s="12">
        <f>C40+D40-E40+F40+G40+H40+I40+J40+K40</f>
        <v>226173.24</v>
      </c>
      <c r="Q40" s="48"/>
    </row>
    <row r="41" spans="1:20" ht="15.75" customHeight="1" x14ac:dyDescent="0.25">
      <c r="A41" s="1"/>
      <c r="B41" s="12"/>
      <c r="C41" s="9"/>
      <c r="D41" s="9"/>
      <c r="E41" s="9"/>
      <c r="F41" s="9"/>
      <c r="G41" s="9"/>
      <c r="H41" s="9"/>
      <c r="I41" s="9"/>
      <c r="J41" s="9"/>
      <c r="K41" s="12"/>
      <c r="L41" s="12"/>
      <c r="M41" s="12"/>
      <c r="N41" s="12"/>
      <c r="O41" s="12"/>
      <c r="P41" s="12"/>
      <c r="Q41" s="46"/>
    </row>
    <row r="42" spans="1:20" ht="15.75" customHeight="1" x14ac:dyDescent="0.25">
      <c r="A42" s="7">
        <v>44805</v>
      </c>
      <c r="B42" s="2"/>
      <c r="C42" s="8" t="s">
        <v>0</v>
      </c>
      <c r="D42" s="8" t="s">
        <v>1</v>
      </c>
      <c r="E42" s="8" t="s">
        <v>2</v>
      </c>
      <c r="F42" s="8" t="s">
        <v>3</v>
      </c>
      <c r="G42" s="8" t="s">
        <v>4</v>
      </c>
      <c r="H42" s="8" t="s">
        <v>5</v>
      </c>
      <c r="I42" s="1" t="s">
        <v>6</v>
      </c>
      <c r="J42" s="8" t="s">
        <v>7</v>
      </c>
      <c r="K42" s="1" t="s">
        <v>8</v>
      </c>
      <c r="L42" s="1" t="s">
        <v>25</v>
      </c>
      <c r="M42" s="1" t="s">
        <v>26</v>
      </c>
      <c r="N42" s="1" t="s">
        <v>27</v>
      </c>
      <c r="O42" s="1"/>
      <c r="P42" s="1" t="s">
        <v>9</v>
      </c>
      <c r="Q42" s="48"/>
    </row>
    <row r="43" spans="1:20" ht="15.75" customHeight="1" x14ac:dyDescent="0.25">
      <c r="A43" s="1" t="s">
        <v>10</v>
      </c>
      <c r="B43" s="2"/>
      <c r="C43" s="3">
        <v>3854.51</v>
      </c>
      <c r="D43" s="3">
        <v>848864</v>
      </c>
      <c r="E43" s="3">
        <v>386210.43</v>
      </c>
      <c r="F43" s="3">
        <v>57241.71</v>
      </c>
      <c r="G43" s="3">
        <v>55569.1</v>
      </c>
      <c r="H43" s="3">
        <v>149583.03</v>
      </c>
      <c r="I43" s="3">
        <v>25027.75</v>
      </c>
      <c r="J43" s="3">
        <v>0</v>
      </c>
      <c r="K43" s="12">
        <v>64586.239999999998</v>
      </c>
      <c r="L43" s="12">
        <v>11248</v>
      </c>
      <c r="M43" s="12">
        <v>2397.92</v>
      </c>
      <c r="N43" s="12">
        <v>7097.05</v>
      </c>
      <c r="O43" s="12"/>
      <c r="P43" s="12">
        <f>C43+D43-E43+F43+G43+H43+I43+J43+K43+L43+M43+N43</f>
        <v>839258.88000000012</v>
      </c>
      <c r="Q43" s="46">
        <f>P43+P44+P45</f>
        <v>1119217.2000000002</v>
      </c>
    </row>
    <row r="44" spans="1:20" ht="15.75" customHeight="1" x14ac:dyDescent="0.25">
      <c r="A44" s="1" t="s">
        <v>11</v>
      </c>
      <c r="B44" s="2"/>
      <c r="C44" s="3">
        <v>2756.65</v>
      </c>
      <c r="D44" s="3"/>
      <c r="E44" s="3"/>
      <c r="F44" s="3"/>
      <c r="G44" s="3"/>
      <c r="H44" s="40">
        <v>42784.11</v>
      </c>
      <c r="I44" s="3"/>
      <c r="J44" s="3"/>
      <c r="L44" s="12"/>
      <c r="M44" s="12"/>
      <c r="N44" s="12"/>
      <c r="O44" s="12"/>
      <c r="P44" s="12">
        <f>C44+D44-E44+F44+G44+I44+J44+H44</f>
        <v>45540.76</v>
      </c>
      <c r="Q44" s="47"/>
    </row>
    <row r="45" spans="1:20" ht="15.75" customHeight="1" x14ac:dyDescent="0.25">
      <c r="A45" s="1" t="s">
        <v>21</v>
      </c>
      <c r="B45" s="2"/>
      <c r="C45" s="3">
        <v>234417.56</v>
      </c>
      <c r="D45" s="3"/>
      <c r="E45" s="3"/>
      <c r="F45" s="3"/>
      <c r="G45" s="3"/>
      <c r="H45" s="3"/>
      <c r="I45" s="3"/>
      <c r="J45" s="3"/>
      <c r="K45" s="12"/>
      <c r="L45" s="12"/>
      <c r="M45" s="12"/>
      <c r="N45" s="12"/>
      <c r="O45" s="12"/>
      <c r="P45" s="12">
        <f>C45+D45-E45+F45+G45+H45+I45+J45+K45</f>
        <v>234417.56</v>
      </c>
      <c r="Q45" s="48"/>
    </row>
    <row r="46" spans="1:20" ht="15.75" customHeight="1" x14ac:dyDescent="0.25">
      <c r="A46" s="1"/>
      <c r="B46" s="12"/>
      <c r="C46" s="9"/>
      <c r="D46" s="9"/>
      <c r="E46" s="9"/>
      <c r="F46" s="9"/>
      <c r="G46" s="9"/>
      <c r="H46" s="9"/>
      <c r="I46" s="9"/>
      <c r="J46" s="9"/>
      <c r="K46" s="12"/>
      <c r="L46" s="12"/>
      <c r="M46" s="12"/>
      <c r="N46" s="12"/>
      <c r="O46" s="12"/>
      <c r="P46" s="12"/>
      <c r="Q46" s="35"/>
    </row>
    <row r="47" spans="1:20" ht="15.75" customHeight="1" x14ac:dyDescent="0.25">
      <c r="A47" s="7">
        <v>45571</v>
      </c>
      <c r="B47" s="2"/>
      <c r="C47" s="8" t="s">
        <v>0</v>
      </c>
      <c r="D47" s="8" t="s">
        <v>1</v>
      </c>
      <c r="E47" s="8" t="s">
        <v>2</v>
      </c>
      <c r="F47" s="8" t="s">
        <v>3</v>
      </c>
      <c r="G47" s="8" t="s">
        <v>4</v>
      </c>
      <c r="H47" s="8" t="s">
        <v>5</v>
      </c>
      <c r="I47" s="1" t="s">
        <v>6</v>
      </c>
      <c r="J47" s="8" t="s">
        <v>7</v>
      </c>
      <c r="K47" s="1" t="s">
        <v>8</v>
      </c>
      <c r="L47" s="1" t="s">
        <v>25</v>
      </c>
      <c r="M47" s="1" t="s">
        <v>26</v>
      </c>
      <c r="N47" s="1" t="s">
        <v>27</v>
      </c>
      <c r="O47" s="1"/>
      <c r="P47" s="1" t="s">
        <v>9</v>
      </c>
      <c r="Q47" s="16"/>
    </row>
    <row r="48" spans="1:20" ht="15.75" customHeight="1" x14ac:dyDescent="0.25">
      <c r="A48" s="1" t="s">
        <v>10</v>
      </c>
      <c r="B48" s="2"/>
      <c r="C48" s="3">
        <v>875.55</v>
      </c>
      <c r="D48" s="3">
        <v>799094</v>
      </c>
      <c r="E48" s="3">
        <v>384970.68</v>
      </c>
      <c r="F48" s="3">
        <v>58278</v>
      </c>
      <c r="G48" s="3">
        <v>59595.61</v>
      </c>
      <c r="H48" s="3">
        <v>152433.73000000001</v>
      </c>
      <c r="I48" s="3">
        <v>23556.5</v>
      </c>
      <c r="J48" s="3">
        <v>0</v>
      </c>
      <c r="K48" s="12">
        <v>65860.84</v>
      </c>
      <c r="L48" s="12">
        <v>11276</v>
      </c>
      <c r="M48" s="12">
        <v>2586.3000000000002</v>
      </c>
      <c r="N48" s="12">
        <v>7358.69</v>
      </c>
      <c r="O48" s="12"/>
      <c r="P48" s="12">
        <f>C48+D48-E48+F48+G48+H48+I48+J48+K48+L48+M48+N48</f>
        <v>795944.54</v>
      </c>
      <c r="Q48" s="46">
        <f>P48+P49+P50</f>
        <v>982532.95000000007</v>
      </c>
    </row>
    <row r="49" spans="1:17" ht="15.75" customHeight="1" x14ac:dyDescent="0.25">
      <c r="A49" s="1" t="s">
        <v>11</v>
      </c>
      <c r="B49" s="2"/>
      <c r="C49" s="3">
        <v>3378.76</v>
      </c>
      <c r="D49" s="3"/>
      <c r="E49" s="3"/>
      <c r="F49" s="3"/>
      <c r="G49" s="3"/>
      <c r="H49" s="3">
        <v>44785.23</v>
      </c>
      <c r="I49" s="3"/>
      <c r="J49" s="3"/>
      <c r="K49" s="12"/>
      <c r="L49" s="12"/>
      <c r="M49" s="12"/>
      <c r="N49" s="12"/>
      <c r="O49" s="12"/>
      <c r="P49" s="12">
        <f>C49+D49-E49+F49+G49+H49+I49+J49+K49</f>
        <v>48163.990000000005</v>
      </c>
      <c r="Q49" s="47"/>
    </row>
    <row r="50" spans="1:17" ht="15.75" customHeight="1" x14ac:dyDescent="0.25">
      <c r="A50" s="1" t="s">
        <v>21</v>
      </c>
      <c r="B50" s="2"/>
      <c r="C50" s="3">
        <v>138424.42000000001</v>
      </c>
      <c r="D50" s="3"/>
      <c r="E50" s="3"/>
      <c r="F50" s="3"/>
      <c r="G50" s="3"/>
      <c r="H50" s="3"/>
      <c r="I50" s="3"/>
      <c r="J50" s="3"/>
      <c r="K50" s="12"/>
      <c r="L50" s="12"/>
      <c r="M50" s="12"/>
      <c r="N50" s="12"/>
      <c r="O50" s="12"/>
      <c r="P50" s="12">
        <f>C50+D50-E50+F50+G50+H50+I50+J50+K50</f>
        <v>138424.42000000001</v>
      </c>
      <c r="Q50" s="48"/>
    </row>
    <row r="51" spans="1:17" ht="15.75" customHeight="1" x14ac:dyDescent="0.25">
      <c r="A51" s="1"/>
      <c r="B51" s="12"/>
      <c r="C51" s="9"/>
      <c r="D51" s="9"/>
      <c r="E51" s="9"/>
      <c r="F51" s="9"/>
      <c r="G51" s="9"/>
      <c r="H51" s="9"/>
      <c r="I51" s="9"/>
      <c r="J51" s="9"/>
      <c r="K51" s="12"/>
      <c r="L51" s="12"/>
      <c r="M51" s="12"/>
      <c r="N51" s="12"/>
      <c r="O51" s="12"/>
      <c r="P51" s="12"/>
      <c r="Q51" s="46"/>
    </row>
    <row r="52" spans="1:17" ht="15.75" customHeight="1" x14ac:dyDescent="0.25">
      <c r="A52" s="7">
        <v>45600</v>
      </c>
      <c r="B52" s="2"/>
      <c r="C52" s="8" t="s">
        <v>0</v>
      </c>
      <c r="D52" s="8" t="s">
        <v>1</v>
      </c>
      <c r="E52" s="8" t="s">
        <v>2</v>
      </c>
      <c r="F52" s="8" t="s">
        <v>3</v>
      </c>
      <c r="G52" s="8" t="s">
        <v>4</v>
      </c>
      <c r="H52" s="8" t="s">
        <v>5</v>
      </c>
      <c r="I52" s="1" t="s">
        <v>6</v>
      </c>
      <c r="J52" s="8" t="s">
        <v>7</v>
      </c>
      <c r="K52" s="1" t="s">
        <v>8</v>
      </c>
      <c r="L52" s="1" t="s">
        <v>25</v>
      </c>
      <c r="M52" s="1" t="s">
        <v>26</v>
      </c>
      <c r="N52" s="1" t="s">
        <v>27</v>
      </c>
      <c r="O52" s="41" t="s">
        <v>30</v>
      </c>
      <c r="P52" s="1" t="s">
        <v>9</v>
      </c>
      <c r="Q52" s="48"/>
    </row>
    <row r="53" spans="1:17" ht="15.75" customHeight="1" x14ac:dyDescent="0.25">
      <c r="A53" s="1" t="s">
        <v>10</v>
      </c>
      <c r="B53" s="2"/>
      <c r="C53" s="3">
        <v>1019.63</v>
      </c>
      <c r="D53" s="3">
        <v>855080</v>
      </c>
      <c r="E53" s="3">
        <v>383728.08</v>
      </c>
      <c r="F53" s="3">
        <v>57400.91</v>
      </c>
      <c r="G53" s="3">
        <v>61206.31</v>
      </c>
      <c r="H53" s="3">
        <v>153079.98000000001</v>
      </c>
      <c r="I53" s="3">
        <v>23062.880000000001</v>
      </c>
      <c r="J53" s="3">
        <v>0</v>
      </c>
      <c r="K53" s="12">
        <v>64965.96</v>
      </c>
      <c r="L53" s="12">
        <v>11304</v>
      </c>
      <c r="M53" s="12">
        <v>3065.56</v>
      </c>
      <c r="N53" s="12">
        <v>7363.53</v>
      </c>
      <c r="O53" s="12">
        <v>50000</v>
      </c>
      <c r="P53" s="12">
        <f>C53+D53-E53+F53+G53+H53+I53+J53+K53+L53+M53+N53+O53</f>
        <v>903820.68</v>
      </c>
      <c r="Q53" s="46">
        <f>P53+P54+P55</f>
        <v>1088357.3800000001</v>
      </c>
    </row>
    <row r="54" spans="1:17" ht="15.75" customHeight="1" x14ac:dyDescent="0.25">
      <c r="A54" s="1" t="s">
        <v>11</v>
      </c>
      <c r="B54" s="2"/>
      <c r="C54" s="30">
        <v>5856.44</v>
      </c>
      <c r="D54" s="3"/>
      <c r="E54" s="3"/>
      <c r="F54" s="3"/>
      <c r="G54" s="3"/>
      <c r="H54" s="3">
        <v>45675.11</v>
      </c>
      <c r="I54" s="3"/>
      <c r="J54" s="3"/>
      <c r="K54" s="12"/>
      <c r="L54" s="12"/>
      <c r="M54" s="12"/>
      <c r="N54" s="12"/>
      <c r="O54" s="12"/>
      <c r="P54" s="12">
        <f>H54+D54-E54+F54+G54+I54+J54+K54+C54</f>
        <v>51531.55</v>
      </c>
      <c r="Q54" s="47"/>
    </row>
    <row r="55" spans="1:17" ht="15.75" customHeight="1" x14ac:dyDescent="0.25">
      <c r="A55" s="1" t="s">
        <v>21</v>
      </c>
      <c r="B55" s="2"/>
      <c r="C55" s="3">
        <v>133005.15</v>
      </c>
      <c r="D55" s="3"/>
      <c r="E55" s="3"/>
      <c r="F55" s="3"/>
      <c r="G55" s="3"/>
      <c r="H55" s="3"/>
      <c r="I55" s="3"/>
      <c r="J55" s="3"/>
      <c r="K55" s="12"/>
      <c r="L55" s="12"/>
      <c r="M55" s="12"/>
      <c r="N55" s="12"/>
      <c r="O55" s="12"/>
      <c r="P55" s="12">
        <f>C55+D55-E55+F55+G55+H55+I55+J55+K55</f>
        <v>133005.15</v>
      </c>
      <c r="Q55" s="48"/>
    </row>
    <row r="56" spans="1:17" ht="15.75" customHeight="1" x14ac:dyDescent="0.25">
      <c r="A56" s="1"/>
      <c r="B56" s="12"/>
      <c r="C56" s="9"/>
      <c r="D56" s="9"/>
      <c r="E56" s="9"/>
      <c r="F56" s="9"/>
      <c r="G56" s="9"/>
      <c r="H56" s="9"/>
      <c r="I56" s="9"/>
      <c r="J56" s="9"/>
      <c r="K56" s="12"/>
      <c r="L56" s="12"/>
      <c r="M56" s="12"/>
      <c r="N56" s="12"/>
      <c r="O56" s="12"/>
      <c r="P56" s="12"/>
      <c r="Q56" s="46"/>
    </row>
    <row r="57" spans="1:17" ht="15.75" customHeight="1" x14ac:dyDescent="0.25">
      <c r="A57" s="7">
        <v>44905</v>
      </c>
      <c r="B57" s="2"/>
      <c r="C57" s="8" t="s">
        <v>0</v>
      </c>
      <c r="D57" s="8" t="s">
        <v>1</v>
      </c>
      <c r="E57" s="8" t="s">
        <v>2</v>
      </c>
      <c r="F57" s="8" t="s">
        <v>3</v>
      </c>
      <c r="G57" s="8" t="s">
        <v>4</v>
      </c>
      <c r="H57" s="8" t="s">
        <v>5</v>
      </c>
      <c r="I57" s="1" t="s">
        <v>6</v>
      </c>
      <c r="J57" s="8" t="s">
        <v>7</v>
      </c>
      <c r="K57" s="1" t="s">
        <v>8</v>
      </c>
      <c r="L57" s="1" t="s">
        <v>25</v>
      </c>
      <c r="M57" s="1" t="s">
        <v>26</v>
      </c>
      <c r="N57" s="1" t="s">
        <v>27</v>
      </c>
      <c r="O57" s="41" t="s">
        <v>30</v>
      </c>
      <c r="P57" s="1" t="s">
        <v>9</v>
      </c>
      <c r="Q57" s="48"/>
    </row>
    <row r="58" spans="1:17" ht="15.75" customHeight="1" x14ac:dyDescent="0.25">
      <c r="A58" s="1" t="s">
        <v>10</v>
      </c>
      <c r="B58" s="2"/>
      <c r="C58" s="3"/>
      <c r="D58" s="3"/>
      <c r="E58" s="3"/>
      <c r="F58" s="3"/>
      <c r="G58" s="3"/>
      <c r="H58" s="3"/>
      <c r="I58" s="3"/>
      <c r="J58" s="3"/>
      <c r="K58" s="12"/>
      <c r="L58" s="12"/>
      <c r="M58" s="12"/>
      <c r="N58" s="12"/>
      <c r="O58" s="12"/>
      <c r="P58" s="12">
        <f>C58+D58-E58+F58+G58+H58+I58+J58+K58+L58+M58+N58+O58</f>
        <v>0</v>
      </c>
      <c r="Q58" s="46">
        <f>P58+P59+P60</f>
        <v>0</v>
      </c>
    </row>
    <row r="59" spans="1:17" ht="15.75" customHeight="1" x14ac:dyDescent="0.25">
      <c r="A59" s="1" t="s">
        <v>11</v>
      </c>
      <c r="B59" s="2"/>
      <c r="C59" s="3"/>
      <c r="D59" s="3"/>
      <c r="E59" s="3"/>
      <c r="F59" s="3"/>
      <c r="G59" s="3"/>
      <c r="H59" s="3"/>
      <c r="I59" s="3"/>
      <c r="J59" s="3"/>
      <c r="K59" s="12"/>
      <c r="L59" s="12"/>
      <c r="M59" s="12"/>
      <c r="N59" s="12"/>
      <c r="O59" s="12"/>
      <c r="P59" s="12">
        <f>C59+D59-E59+F59+G59+H59+I59+J59+K59</f>
        <v>0</v>
      </c>
      <c r="Q59" s="47"/>
    </row>
    <row r="60" spans="1:17" ht="15.75" customHeight="1" x14ac:dyDescent="0.25">
      <c r="A60" s="1" t="s">
        <v>21</v>
      </c>
      <c r="B60" s="2"/>
      <c r="C60" s="3"/>
      <c r="D60" s="3"/>
      <c r="E60" s="3"/>
      <c r="F60" s="3"/>
      <c r="G60" s="3"/>
      <c r="H60" s="3"/>
      <c r="I60" s="3"/>
      <c r="J60" s="3"/>
      <c r="K60" s="12"/>
      <c r="L60" s="12"/>
      <c r="M60" s="12"/>
      <c r="N60" s="12"/>
      <c r="O60" s="12"/>
      <c r="P60" s="12">
        <f>C60+D60-E60+F60+G60+H60+I60+J60+K60</f>
        <v>0</v>
      </c>
      <c r="Q60" s="48"/>
    </row>
    <row r="61" spans="1:17" ht="15.75" customHeight="1" x14ac:dyDescent="0.25"/>
    <row r="62" spans="1:17" ht="15.75" customHeight="1" x14ac:dyDescent="0.25"/>
    <row r="63" spans="1:17" ht="15.75" customHeight="1" x14ac:dyDescent="0.25"/>
    <row r="64" spans="1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19">
    <mergeCell ref="Q31:Q32"/>
    <mergeCell ref="Q18:Q20"/>
    <mergeCell ref="Q8:Q10"/>
    <mergeCell ref="Q3:Q4"/>
    <mergeCell ref="Q41:Q42"/>
    <mergeCell ref="Q53:Q55"/>
    <mergeCell ref="Q43:Q45"/>
    <mergeCell ref="Q58:Q60"/>
    <mergeCell ref="Q11:Q12"/>
    <mergeCell ref="Q33:Q35"/>
    <mergeCell ref="Q23:Q25"/>
    <mergeCell ref="Q38:Q40"/>
    <mergeCell ref="Q56:Q57"/>
    <mergeCell ref="Q5:Q6"/>
    <mergeCell ref="Q21:Q22"/>
    <mergeCell ref="Q51:Q52"/>
    <mergeCell ref="Q48:Q50"/>
    <mergeCell ref="Q13:Q15"/>
    <mergeCell ref="Q28:Q3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5"/>
  <sheetViews>
    <sheetView workbookViewId="0">
      <selection activeCell="R2" sqref="R2"/>
    </sheetView>
  </sheetViews>
  <sheetFormatPr defaultColWidth="14.42578125" defaultRowHeight="15" customHeight="1" x14ac:dyDescent="0.25"/>
  <cols>
    <col min="1" max="1" width="7.5703125" customWidth="1"/>
    <col min="2" max="2" width="12.5703125" customWidth="1"/>
    <col min="3" max="3" width="11" customWidth="1"/>
    <col min="4" max="4" width="15.85546875" customWidth="1"/>
    <col min="5" max="8" width="11" customWidth="1"/>
    <col min="9" max="9" width="13.42578125" customWidth="1"/>
    <col min="10" max="10" width="11" customWidth="1"/>
    <col min="11" max="11" width="13.5703125" customWidth="1"/>
    <col min="12" max="12" width="12.5703125" customWidth="1"/>
    <col min="13" max="16" width="11" customWidth="1"/>
    <col min="17" max="17" width="13" customWidth="1"/>
    <col min="18" max="18" width="11" customWidth="1"/>
    <col min="19" max="19" width="13.5703125" customWidth="1"/>
    <col min="20" max="20" width="12.5703125" customWidth="1"/>
    <col min="21" max="21" width="14.85546875" customWidth="1"/>
    <col min="22" max="22" width="12.5703125" customWidth="1"/>
    <col min="23" max="23" width="14.85546875" customWidth="1"/>
    <col min="24" max="24" width="14" customWidth="1"/>
    <col min="25" max="25" width="14.140625" customWidth="1"/>
    <col min="26" max="34" width="8.7109375" customWidth="1"/>
  </cols>
  <sheetData>
    <row r="1" spans="1:25" x14ac:dyDescent="0.25">
      <c r="A1" s="1"/>
      <c r="B1" s="2"/>
      <c r="C1" s="3"/>
      <c r="D1" s="11"/>
      <c r="E1" s="11"/>
      <c r="F1" s="13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 t="s">
        <v>36</v>
      </c>
      <c r="S1" s="3"/>
      <c r="T1" s="3"/>
      <c r="U1" s="3"/>
      <c r="V1" s="3"/>
      <c r="W1" s="4"/>
      <c r="X1" s="5"/>
      <c r="Y1" s="6"/>
    </row>
    <row r="2" spans="1:25" ht="45" x14ac:dyDescent="0.25">
      <c r="A2" s="7">
        <v>45294</v>
      </c>
      <c r="B2" s="1"/>
      <c r="C2" s="8" t="s">
        <v>0</v>
      </c>
      <c r="D2" s="14" t="s">
        <v>31</v>
      </c>
      <c r="E2" s="14" t="s">
        <v>32</v>
      </c>
      <c r="F2" s="15" t="s">
        <v>33</v>
      </c>
      <c r="G2" s="15" t="s">
        <v>34</v>
      </c>
      <c r="H2" s="8" t="s">
        <v>3</v>
      </c>
      <c r="I2" s="8" t="s">
        <v>4</v>
      </c>
      <c r="J2" s="8" t="s">
        <v>5</v>
      </c>
      <c r="K2" s="1" t="s">
        <v>6</v>
      </c>
      <c r="L2" s="8" t="s">
        <v>7</v>
      </c>
      <c r="M2" s="1" t="s">
        <v>8</v>
      </c>
      <c r="N2" s="1" t="s">
        <v>25</v>
      </c>
      <c r="O2" s="1" t="s">
        <v>26</v>
      </c>
      <c r="P2" s="1" t="s">
        <v>27</v>
      </c>
      <c r="Q2" s="1" t="s">
        <v>30</v>
      </c>
      <c r="R2" s="1" t="s">
        <v>9</v>
      </c>
      <c r="S2" s="8"/>
      <c r="T2" s="8"/>
      <c r="U2" s="8"/>
      <c r="V2" s="8"/>
      <c r="W2" s="8"/>
      <c r="X2" s="8"/>
      <c r="Y2" s="1"/>
    </row>
    <row r="3" spans="1:25" x14ac:dyDescent="0.25">
      <c r="A3" s="1" t="s">
        <v>10</v>
      </c>
      <c r="B3" s="9"/>
      <c r="C3" s="9">
        <v>3174.93</v>
      </c>
      <c r="D3" s="9">
        <v>818358.5</v>
      </c>
      <c r="E3" s="10">
        <v>381234.34</v>
      </c>
      <c r="F3" s="17"/>
      <c r="G3" s="19"/>
      <c r="H3" s="9">
        <v>58018.61</v>
      </c>
      <c r="I3" s="9">
        <v>70121.69</v>
      </c>
      <c r="J3" s="9">
        <v>157683.6</v>
      </c>
      <c r="K3" s="9">
        <v>22451</v>
      </c>
      <c r="L3" s="9">
        <v>0</v>
      </c>
      <c r="M3" s="12">
        <v>64895.97</v>
      </c>
      <c r="N3" s="12">
        <v>11360</v>
      </c>
      <c r="O3" s="12">
        <v>580.96</v>
      </c>
      <c r="P3" s="12">
        <v>7662.19</v>
      </c>
      <c r="Q3" s="12">
        <v>50335.8</v>
      </c>
      <c r="R3" s="12">
        <f>C3+D3-E3+F3-G3+H3+I3+J3+K3+L3+M3+N3+O3+P3+Q3</f>
        <v>883408.90999999992</v>
      </c>
      <c r="S3" s="46">
        <f>R3+R4+R5</f>
        <v>1074988.3499999999</v>
      </c>
      <c r="T3" s="18"/>
      <c r="U3" s="9"/>
      <c r="V3" s="18"/>
      <c r="W3" s="18"/>
      <c r="X3" s="4"/>
      <c r="Y3" s="18"/>
    </row>
    <row r="4" spans="1:25" x14ac:dyDescent="0.25">
      <c r="A4" s="1" t="s">
        <v>11</v>
      </c>
      <c r="B4" s="5"/>
      <c r="C4" s="20">
        <v>13132.39</v>
      </c>
      <c r="D4" s="1"/>
      <c r="E4" s="1"/>
      <c r="F4" s="23"/>
      <c r="G4" s="24"/>
      <c r="H4" s="1"/>
      <c r="I4" s="8"/>
      <c r="J4" s="5">
        <v>47933.54</v>
      </c>
      <c r="K4" s="8"/>
      <c r="L4" s="8"/>
      <c r="M4" s="12"/>
      <c r="N4" s="12"/>
      <c r="O4" s="12"/>
      <c r="P4" s="12"/>
      <c r="Q4" s="12"/>
      <c r="R4" s="12">
        <f>C4+D4-E4+H4+I4+J4+K4+L4+M4+N4</f>
        <v>61065.93</v>
      </c>
      <c r="S4" s="48"/>
      <c r="T4" s="8"/>
      <c r="U4" s="8"/>
      <c r="V4" s="1"/>
      <c r="W4" s="8"/>
      <c r="X4" s="8"/>
      <c r="Y4" s="1"/>
    </row>
    <row r="5" spans="1:25" ht="15.75" x14ac:dyDescent="0.25">
      <c r="A5" s="1" t="s">
        <v>21</v>
      </c>
      <c r="C5" s="9">
        <v>130513.51</v>
      </c>
      <c r="D5" s="9"/>
      <c r="E5" s="9"/>
      <c r="F5" s="27"/>
      <c r="G5" s="28"/>
      <c r="H5" s="9"/>
      <c r="I5" s="9"/>
      <c r="J5" s="9"/>
      <c r="K5" s="9"/>
      <c r="L5" s="9"/>
      <c r="M5" s="9"/>
      <c r="N5" s="12"/>
      <c r="O5" s="12"/>
      <c r="P5" s="12"/>
      <c r="Q5" s="12"/>
      <c r="R5" s="12">
        <f>C5+D5-E5+H5+I5+J5+K5+L5+M5+N5</f>
        <v>130513.51</v>
      </c>
      <c r="S5" s="46"/>
      <c r="T5" s="9"/>
      <c r="U5" s="9"/>
      <c r="V5" s="9"/>
      <c r="W5" s="18"/>
      <c r="X5" s="9"/>
      <c r="Y5" s="21"/>
    </row>
    <row r="6" spans="1:25" x14ac:dyDescent="0.25">
      <c r="A6" s="1"/>
      <c r="B6" s="2"/>
      <c r="C6" s="3"/>
      <c r="D6" s="3"/>
      <c r="E6" s="3"/>
      <c r="F6" s="13"/>
      <c r="G6" s="29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8"/>
      <c r="T6" s="3"/>
      <c r="U6" s="3"/>
      <c r="V6" s="3"/>
      <c r="W6" s="4"/>
      <c r="X6" s="5"/>
      <c r="Y6" s="6"/>
    </row>
    <row r="7" spans="1:25" ht="45" x14ac:dyDescent="0.25">
      <c r="A7" s="7">
        <v>45699</v>
      </c>
      <c r="B7" s="1"/>
      <c r="C7" s="8" t="s">
        <v>0</v>
      </c>
      <c r="D7" s="14" t="s">
        <v>31</v>
      </c>
      <c r="E7" s="14" t="s">
        <v>32</v>
      </c>
      <c r="F7" s="15" t="s">
        <v>33</v>
      </c>
      <c r="G7" s="15" t="s">
        <v>34</v>
      </c>
      <c r="H7" s="8" t="s">
        <v>3</v>
      </c>
      <c r="I7" s="8" t="s">
        <v>4</v>
      </c>
      <c r="J7" s="8" t="s">
        <v>5</v>
      </c>
      <c r="K7" s="1" t="s">
        <v>6</v>
      </c>
      <c r="L7" s="8" t="s">
        <v>7</v>
      </c>
      <c r="M7" s="1" t="s">
        <v>8</v>
      </c>
      <c r="N7" s="1" t="s">
        <v>25</v>
      </c>
      <c r="O7" s="1" t="s">
        <v>26</v>
      </c>
      <c r="P7" s="1" t="s">
        <v>27</v>
      </c>
      <c r="Q7" s="1" t="s">
        <v>30</v>
      </c>
      <c r="R7" s="1" t="s">
        <v>9</v>
      </c>
      <c r="S7" s="16"/>
      <c r="T7" s="8"/>
      <c r="U7" s="8"/>
      <c r="V7" s="8"/>
      <c r="W7" s="8"/>
      <c r="X7" s="8"/>
      <c r="Y7" s="1"/>
    </row>
    <row r="8" spans="1:25" x14ac:dyDescent="0.25">
      <c r="A8" s="1" t="s">
        <v>10</v>
      </c>
      <c r="B8" s="9"/>
      <c r="C8" s="9">
        <v>3174.93</v>
      </c>
      <c r="D8" s="9">
        <v>818358.5</v>
      </c>
      <c r="E8" s="10">
        <v>381234.34</v>
      </c>
      <c r="F8" s="17"/>
      <c r="G8" s="19"/>
      <c r="H8" s="9">
        <v>58018.61</v>
      </c>
      <c r="I8" s="9">
        <v>70121.69</v>
      </c>
      <c r="J8" s="9">
        <v>157683.6</v>
      </c>
      <c r="K8" s="9">
        <v>22451</v>
      </c>
      <c r="L8" s="9">
        <v>0</v>
      </c>
      <c r="M8" s="12">
        <v>64895.97</v>
      </c>
      <c r="N8" s="12">
        <v>11360</v>
      </c>
      <c r="O8" s="12">
        <v>580.96</v>
      </c>
      <c r="P8" s="12">
        <v>7662.19</v>
      </c>
      <c r="Q8" s="12">
        <v>50335.8</v>
      </c>
      <c r="R8" s="12">
        <f>C8+D8-E8+F8-G8+H8+I8+J8+K8+L8+M8+N8+O8+P8+Q8</f>
        <v>883408.90999999992</v>
      </c>
      <c r="S8" s="46">
        <f>R8+R9+R10</f>
        <v>1074988.3499999999</v>
      </c>
      <c r="T8" s="18"/>
      <c r="U8" s="9"/>
      <c r="V8" s="18"/>
      <c r="W8" s="18"/>
      <c r="X8" s="4"/>
      <c r="Y8" s="18"/>
    </row>
    <row r="9" spans="1:25" x14ac:dyDescent="0.25">
      <c r="A9" s="1" t="s">
        <v>11</v>
      </c>
      <c r="B9" s="5"/>
      <c r="C9" s="20">
        <v>13132.39</v>
      </c>
      <c r="D9" s="1"/>
      <c r="E9" s="1"/>
      <c r="F9" s="23"/>
      <c r="G9" s="24"/>
      <c r="H9" s="1"/>
      <c r="I9" s="8"/>
      <c r="J9" s="5">
        <v>47933.54</v>
      </c>
      <c r="K9" s="8"/>
      <c r="L9" s="8"/>
      <c r="M9" s="12"/>
      <c r="N9" s="12"/>
      <c r="O9" s="12"/>
      <c r="P9" s="12"/>
      <c r="Q9" s="12"/>
      <c r="R9" s="12">
        <f>C9+D9-E9+H9+I9+J9+K9+L9+M9+N9</f>
        <v>61065.93</v>
      </c>
      <c r="S9" s="47"/>
      <c r="T9" s="8"/>
      <c r="U9" s="8"/>
      <c r="V9" s="1"/>
      <c r="W9" s="8"/>
      <c r="X9" s="8"/>
      <c r="Y9" s="1"/>
    </row>
    <row r="10" spans="1:25" x14ac:dyDescent="0.25">
      <c r="A10" s="1" t="s">
        <v>21</v>
      </c>
      <c r="B10" s="12"/>
      <c r="C10" s="9">
        <v>130513.51</v>
      </c>
      <c r="D10" s="9"/>
      <c r="E10" s="9"/>
      <c r="F10" s="27"/>
      <c r="G10" s="28"/>
      <c r="H10" s="9"/>
      <c r="I10" s="9"/>
      <c r="J10" s="9"/>
      <c r="K10" s="9"/>
      <c r="L10" s="9"/>
      <c r="M10" s="9"/>
      <c r="N10" s="12"/>
      <c r="O10" s="12"/>
      <c r="P10" s="12"/>
      <c r="Q10" s="12"/>
      <c r="R10" s="12">
        <f>C10+D10-E10+H10+I10+J10+K10+L10+M10+N10</f>
        <v>130513.51</v>
      </c>
      <c r="S10" s="48"/>
      <c r="T10" s="9"/>
      <c r="U10" s="9"/>
      <c r="V10" s="9"/>
      <c r="W10" s="18"/>
      <c r="X10" s="9"/>
      <c r="Y10" s="18"/>
    </row>
    <row r="11" spans="1:25" x14ac:dyDescent="0.25">
      <c r="A11" s="7"/>
      <c r="B11" s="2"/>
      <c r="C11" s="8"/>
      <c r="D11" s="8"/>
      <c r="E11" s="8"/>
      <c r="F11" s="13"/>
      <c r="G11" s="29"/>
      <c r="H11" s="8"/>
      <c r="I11" s="8"/>
      <c r="J11" s="8"/>
      <c r="K11" s="1"/>
      <c r="L11" s="8"/>
      <c r="M11" s="1"/>
      <c r="N11" s="1"/>
      <c r="O11" s="1"/>
      <c r="P11" s="1"/>
      <c r="Q11" s="1"/>
      <c r="R11" s="1"/>
      <c r="S11" s="46"/>
      <c r="T11" s="3"/>
      <c r="U11" s="3"/>
      <c r="V11" s="3"/>
      <c r="W11" s="4"/>
      <c r="X11" s="5"/>
      <c r="Y11" s="6"/>
    </row>
    <row r="12" spans="1:25" ht="45" x14ac:dyDescent="0.25">
      <c r="A12" s="7">
        <v>45726</v>
      </c>
      <c r="B12" s="2"/>
      <c r="C12" s="31" t="s">
        <v>0</v>
      </c>
      <c r="D12" s="15" t="s">
        <v>31</v>
      </c>
      <c r="E12" s="15" t="s">
        <v>32</v>
      </c>
      <c r="F12" s="15" t="s">
        <v>33</v>
      </c>
      <c r="G12" s="15" t="s">
        <v>34</v>
      </c>
      <c r="H12" s="31" t="s">
        <v>3</v>
      </c>
      <c r="I12" s="31" t="s">
        <v>4</v>
      </c>
      <c r="J12" s="31" t="s">
        <v>5</v>
      </c>
      <c r="K12" s="32" t="s">
        <v>6</v>
      </c>
      <c r="L12" s="31" t="s">
        <v>7</v>
      </c>
      <c r="M12" s="32" t="s">
        <v>8</v>
      </c>
      <c r="N12" s="32" t="s">
        <v>25</v>
      </c>
      <c r="O12" s="32" t="s">
        <v>26</v>
      </c>
      <c r="P12" s="32" t="s">
        <v>27</v>
      </c>
      <c r="Q12" s="32" t="s">
        <v>30</v>
      </c>
      <c r="R12" s="1" t="s">
        <v>9</v>
      </c>
      <c r="S12" s="48"/>
      <c r="T12" s="3"/>
      <c r="U12" s="3"/>
      <c r="V12" s="3"/>
      <c r="W12" s="4"/>
      <c r="X12" s="5"/>
      <c r="Y12" s="6"/>
    </row>
    <row r="13" spans="1:25" x14ac:dyDescent="0.25">
      <c r="A13" s="1" t="s">
        <v>10</v>
      </c>
      <c r="B13" s="2"/>
      <c r="C13" s="3">
        <v>4275.18</v>
      </c>
      <c r="D13" s="3">
        <v>832752.5</v>
      </c>
      <c r="E13" s="3">
        <v>378729.15</v>
      </c>
      <c r="F13" s="33">
        <v>404633.5</v>
      </c>
      <c r="G13" s="34">
        <v>281005</v>
      </c>
      <c r="H13" s="3">
        <v>56754.86</v>
      </c>
      <c r="I13" s="3">
        <v>54710.54</v>
      </c>
      <c r="J13" s="3">
        <v>157744.56</v>
      </c>
      <c r="K13" s="3">
        <v>0</v>
      </c>
      <c r="L13" s="3">
        <v>0</v>
      </c>
      <c r="M13" s="12">
        <v>64489.919999999998</v>
      </c>
      <c r="N13" s="12">
        <v>11404</v>
      </c>
      <c r="O13" s="12">
        <v>5836</v>
      </c>
      <c r="P13" s="12">
        <v>8740.39</v>
      </c>
      <c r="Q13" s="12">
        <v>50800.83</v>
      </c>
      <c r="R13" s="12">
        <f>C13+D13-E13+F13-G13+H13+I13+J13+K13+L13+M13+N13+O13+P13+Q13</f>
        <v>992408.13</v>
      </c>
      <c r="S13" s="46">
        <f>R13+R14+R15</f>
        <v>1068894.04</v>
      </c>
      <c r="T13" s="3"/>
      <c r="U13" s="3"/>
      <c r="V13" s="3"/>
      <c r="W13" s="4"/>
    </row>
    <row r="14" spans="1:25" x14ac:dyDescent="0.25">
      <c r="A14" s="1" t="s">
        <v>11</v>
      </c>
      <c r="B14" s="2"/>
      <c r="C14" s="3">
        <v>13000</v>
      </c>
      <c r="D14" s="3"/>
      <c r="E14" s="3"/>
      <c r="F14" s="13"/>
      <c r="G14" s="29"/>
      <c r="H14" s="3"/>
      <c r="I14" s="3"/>
      <c r="J14" s="3">
        <v>33306.379999999997</v>
      </c>
      <c r="K14" s="3"/>
      <c r="L14" s="3"/>
      <c r="M14" s="12"/>
      <c r="N14" s="12"/>
      <c r="O14" s="12"/>
      <c r="P14" s="12"/>
      <c r="Q14" s="12"/>
      <c r="R14" s="12">
        <f>C14+D14-E14+H14+I14+J14+K14+L14+M14</f>
        <v>46306.38</v>
      </c>
      <c r="S14" s="47"/>
      <c r="T14" s="3"/>
      <c r="U14" s="3"/>
      <c r="V14" s="3"/>
      <c r="W14" s="4"/>
    </row>
    <row r="15" spans="1:25" x14ac:dyDescent="0.25">
      <c r="A15" s="1" t="s">
        <v>21</v>
      </c>
      <c r="B15" s="12"/>
      <c r="C15" s="9">
        <v>30179.53</v>
      </c>
      <c r="D15" s="9"/>
      <c r="E15" s="9"/>
      <c r="F15" s="27"/>
      <c r="G15" s="28"/>
      <c r="H15" s="9"/>
      <c r="I15" s="9"/>
      <c r="J15" s="9"/>
      <c r="K15" s="9"/>
      <c r="L15" s="9"/>
      <c r="M15" s="12"/>
      <c r="N15" s="12"/>
      <c r="O15" s="12"/>
      <c r="P15" s="12"/>
      <c r="Q15" s="12"/>
      <c r="R15" s="12">
        <f>C15+D15-E15+H15+I15+J15+K15+L15+M15</f>
        <v>30179.53</v>
      </c>
      <c r="S15" s="48"/>
    </row>
    <row r="16" spans="1:25" x14ac:dyDescent="0.25">
      <c r="A16" s="7"/>
      <c r="B16" s="2"/>
      <c r="C16" s="8"/>
      <c r="D16" s="8"/>
      <c r="E16" s="8"/>
      <c r="F16" s="13"/>
      <c r="G16" s="29"/>
      <c r="H16" s="8"/>
      <c r="I16" s="8"/>
      <c r="J16" s="8"/>
      <c r="K16" s="1"/>
      <c r="L16" s="8"/>
      <c r="M16" s="1"/>
      <c r="N16" s="1"/>
      <c r="O16" s="1"/>
      <c r="P16" s="1"/>
      <c r="Q16" s="1"/>
      <c r="R16" s="1"/>
      <c r="S16" s="35"/>
    </row>
    <row r="17" spans="1:22" ht="45" x14ac:dyDescent="0.25">
      <c r="A17" s="7">
        <v>45750</v>
      </c>
      <c r="B17" s="2"/>
      <c r="C17" s="31" t="s">
        <v>0</v>
      </c>
      <c r="D17" s="15" t="s">
        <v>31</v>
      </c>
      <c r="E17" s="15" t="s">
        <v>32</v>
      </c>
      <c r="F17" s="15" t="s">
        <v>33</v>
      </c>
      <c r="G17" s="15" t="s">
        <v>34</v>
      </c>
      <c r="H17" s="31" t="s">
        <v>3</v>
      </c>
      <c r="I17" s="31" t="s">
        <v>4</v>
      </c>
      <c r="J17" s="31" t="s">
        <v>5</v>
      </c>
      <c r="K17" s="32" t="s">
        <v>6</v>
      </c>
      <c r="L17" s="31" t="s">
        <v>7</v>
      </c>
      <c r="M17" s="32" t="s">
        <v>8</v>
      </c>
      <c r="N17" s="32" t="s">
        <v>25</v>
      </c>
      <c r="O17" s="32" t="s">
        <v>26</v>
      </c>
      <c r="P17" s="32" t="s">
        <v>27</v>
      </c>
      <c r="Q17" s="32" t="s">
        <v>30</v>
      </c>
      <c r="R17" s="1" t="s">
        <v>9</v>
      </c>
      <c r="S17" s="16"/>
    </row>
    <row r="18" spans="1:22" x14ac:dyDescent="0.25">
      <c r="A18" s="1" t="s">
        <v>10</v>
      </c>
      <c r="B18" s="2"/>
      <c r="C18" s="3">
        <v>2197.3000000000002</v>
      </c>
      <c r="D18" s="3">
        <v>838391</v>
      </c>
      <c r="E18" s="36">
        <v>377472.25</v>
      </c>
      <c r="F18" s="33">
        <v>404835.5</v>
      </c>
      <c r="G18" s="38">
        <v>280796.45</v>
      </c>
      <c r="H18" s="3">
        <v>57301.17</v>
      </c>
      <c r="I18" s="3">
        <v>56774.02</v>
      </c>
      <c r="J18" s="3">
        <v>162586.15</v>
      </c>
      <c r="K18" s="3">
        <v>0</v>
      </c>
      <c r="L18" s="3">
        <v>0</v>
      </c>
      <c r="M18" s="12">
        <v>63030.75</v>
      </c>
      <c r="N18" s="37">
        <v>11424</v>
      </c>
      <c r="O18" s="37">
        <v>5657.59</v>
      </c>
      <c r="P18" s="37">
        <v>8712.4500000000007</v>
      </c>
      <c r="Q18" s="37">
        <v>50800.83</v>
      </c>
      <c r="R18" s="12">
        <f>C18+D18-E18+F18-G18+H18+I18+J18+K18+L18+M18+N18+O18+P18+Q18</f>
        <v>1003442.06</v>
      </c>
      <c r="S18" s="46">
        <f>R18+R19+R20</f>
        <v>1055139.75</v>
      </c>
    </row>
    <row r="19" spans="1:22" x14ac:dyDescent="0.25">
      <c r="A19" s="1" t="s">
        <v>11</v>
      </c>
      <c r="B19" s="2"/>
      <c r="C19" s="3">
        <v>2981.16</v>
      </c>
      <c r="D19" s="3"/>
      <c r="E19" s="3"/>
      <c r="F19" s="13"/>
      <c r="G19" s="29"/>
      <c r="H19" s="3"/>
      <c r="I19" s="3"/>
      <c r="J19" s="3">
        <v>34536.04</v>
      </c>
      <c r="K19" s="3"/>
      <c r="L19" s="3"/>
      <c r="M19" s="12"/>
      <c r="N19" s="12"/>
      <c r="O19" s="12"/>
      <c r="P19" s="12"/>
      <c r="Q19" s="12"/>
      <c r="R19" s="12">
        <f>C19+D19-E19+H19+I19+J19+K19+L19+M19</f>
        <v>37517.199999999997</v>
      </c>
      <c r="S19" s="47"/>
    </row>
    <row r="20" spans="1:22" x14ac:dyDescent="0.25">
      <c r="A20" s="1" t="s">
        <v>21</v>
      </c>
      <c r="B20" s="12"/>
      <c r="C20" s="9">
        <v>14180.49</v>
      </c>
      <c r="D20" s="9"/>
      <c r="E20" s="9"/>
      <c r="F20" s="27"/>
      <c r="G20" s="28"/>
      <c r="H20" s="9"/>
      <c r="I20" s="9"/>
      <c r="J20" s="9"/>
      <c r="K20" s="9"/>
      <c r="L20" s="9"/>
      <c r="M20" s="12"/>
      <c r="N20" s="12"/>
      <c r="O20" s="12"/>
      <c r="P20" s="12"/>
      <c r="Q20" s="12"/>
      <c r="R20" s="12">
        <f>C20+D20-E20+H20+I20+J20+K20+L20+M20</f>
        <v>14180.49</v>
      </c>
      <c r="S20" s="48"/>
      <c r="U20" s="30" t="s">
        <v>12</v>
      </c>
      <c r="V20" s="30">
        <f>(3513.85*2)+(2487*2)</f>
        <v>12001.7</v>
      </c>
    </row>
    <row r="21" spans="1:22" x14ac:dyDescent="0.25">
      <c r="A21" s="7"/>
      <c r="B21" s="2"/>
      <c r="C21" s="8"/>
      <c r="D21" s="8"/>
      <c r="E21" s="8"/>
      <c r="F21" s="13"/>
      <c r="G21" s="29"/>
      <c r="H21" s="8"/>
      <c r="I21" s="8"/>
      <c r="J21" s="8"/>
      <c r="K21" s="1"/>
      <c r="L21" s="8"/>
      <c r="M21" s="1"/>
      <c r="N21" s="1"/>
      <c r="O21" s="1"/>
      <c r="P21" s="1"/>
      <c r="Q21" s="1"/>
      <c r="R21" s="1"/>
      <c r="S21" s="46"/>
      <c r="U21" s="30"/>
      <c r="V21" s="30"/>
    </row>
    <row r="22" spans="1:22" ht="45" x14ac:dyDescent="0.25">
      <c r="A22" s="7">
        <v>45788</v>
      </c>
      <c r="B22" s="2"/>
      <c r="C22" s="31" t="s">
        <v>0</v>
      </c>
      <c r="D22" s="15" t="s">
        <v>31</v>
      </c>
      <c r="E22" s="15" t="s">
        <v>32</v>
      </c>
      <c r="F22" s="15" t="s">
        <v>33</v>
      </c>
      <c r="G22" s="15" t="s">
        <v>34</v>
      </c>
      <c r="H22" s="31" t="s">
        <v>3</v>
      </c>
      <c r="I22" s="31" t="s">
        <v>4</v>
      </c>
      <c r="J22" s="31" t="s">
        <v>5</v>
      </c>
      <c r="K22" s="32" t="s">
        <v>6</v>
      </c>
      <c r="L22" s="31" t="s">
        <v>7</v>
      </c>
      <c r="M22" s="32" t="s">
        <v>8</v>
      </c>
      <c r="N22" s="32" t="s">
        <v>25</v>
      </c>
      <c r="O22" s="32" t="s">
        <v>26</v>
      </c>
      <c r="P22" s="32" t="s">
        <v>27</v>
      </c>
      <c r="Q22" s="32" t="s">
        <v>30</v>
      </c>
      <c r="R22" s="1" t="s">
        <v>9</v>
      </c>
      <c r="S22" s="48"/>
      <c r="U22" s="30" t="s">
        <v>2</v>
      </c>
      <c r="V22" s="30">
        <v>-2578.0300000000002</v>
      </c>
    </row>
    <row r="23" spans="1:22" x14ac:dyDescent="0.25">
      <c r="A23" s="1" t="s">
        <v>10</v>
      </c>
      <c r="B23" s="2"/>
      <c r="C23" s="3">
        <v>7183.9</v>
      </c>
      <c r="D23" s="3">
        <v>847810</v>
      </c>
      <c r="E23" s="3">
        <v>376212.47</v>
      </c>
      <c r="F23" s="33">
        <v>404889.5</v>
      </c>
      <c r="G23" s="34">
        <v>280586.59999999998</v>
      </c>
      <c r="H23" s="3">
        <v>52287.03</v>
      </c>
      <c r="I23" s="3">
        <v>63829.34</v>
      </c>
      <c r="J23" s="3">
        <v>164175</v>
      </c>
      <c r="K23" s="3">
        <v>0</v>
      </c>
      <c r="L23" s="3">
        <v>0</v>
      </c>
      <c r="M23" s="12">
        <v>66040.91</v>
      </c>
      <c r="N23" s="37">
        <v>11440</v>
      </c>
      <c r="O23" s="37">
        <v>4939.46</v>
      </c>
      <c r="P23" s="37">
        <v>8970.6200000000008</v>
      </c>
      <c r="Q23" s="37">
        <v>51110.23</v>
      </c>
      <c r="R23" s="12">
        <f>C23+D23-E23+F23-G23+H23+I23+J23+K23+L23+M23+N23+O23+P23+Q23</f>
        <v>1025876.92</v>
      </c>
      <c r="S23" s="46">
        <f>R23+R24+R25</f>
        <v>1114842.0799999998</v>
      </c>
      <c r="U23" s="30" t="s">
        <v>13</v>
      </c>
      <c r="V23" s="30">
        <v>-49</v>
      </c>
    </row>
    <row r="24" spans="1:22" ht="15.75" customHeight="1" x14ac:dyDescent="0.25">
      <c r="A24" s="1" t="s">
        <v>11</v>
      </c>
      <c r="B24" s="2"/>
      <c r="C24" s="3">
        <v>21863.75</v>
      </c>
      <c r="D24" s="3"/>
      <c r="E24" s="3"/>
      <c r="F24" s="13"/>
      <c r="G24" s="29"/>
      <c r="H24" s="3"/>
      <c r="I24" s="3"/>
      <c r="J24" s="3">
        <v>52920.25</v>
      </c>
      <c r="K24" s="3"/>
      <c r="L24" s="3"/>
      <c r="M24" s="12"/>
      <c r="N24" s="12"/>
      <c r="O24" s="12"/>
      <c r="P24" s="12"/>
      <c r="Q24" s="12"/>
      <c r="R24" s="12">
        <f>C24+D24-E24+H24+I24+J24+K24+L24+M24</f>
        <v>74784</v>
      </c>
      <c r="S24" s="47"/>
      <c r="U24" s="30" t="s">
        <v>14</v>
      </c>
      <c r="V24" s="30">
        <v>-50</v>
      </c>
    </row>
    <row r="25" spans="1:22" ht="15.75" customHeight="1" x14ac:dyDescent="0.25">
      <c r="A25" s="1" t="s">
        <v>21</v>
      </c>
      <c r="B25" s="12"/>
      <c r="C25" s="9">
        <v>14181.16</v>
      </c>
      <c r="D25" s="9"/>
      <c r="E25" s="9"/>
      <c r="F25" s="27"/>
      <c r="G25" s="28"/>
      <c r="H25" s="9"/>
      <c r="I25" s="9"/>
      <c r="J25" s="9"/>
      <c r="K25" s="9"/>
      <c r="L25" s="9"/>
      <c r="M25" s="12"/>
      <c r="N25" s="12"/>
      <c r="O25" s="12"/>
      <c r="P25" s="12"/>
      <c r="Q25" s="12"/>
      <c r="R25" s="12">
        <f>C25+D25-E25+H25+I25+J25+K25+L25+M25</f>
        <v>14181.16</v>
      </c>
      <c r="S25" s="48"/>
      <c r="U25" s="30" t="s">
        <v>15</v>
      </c>
      <c r="V25" s="30">
        <v>-100</v>
      </c>
    </row>
    <row r="26" spans="1:22" ht="15.75" customHeight="1" x14ac:dyDescent="0.25">
      <c r="A26" s="7"/>
      <c r="B26" s="2"/>
      <c r="C26" s="8"/>
      <c r="D26" s="8"/>
      <c r="E26" s="8"/>
      <c r="F26" s="13"/>
      <c r="G26" s="29"/>
      <c r="H26" s="8"/>
      <c r="I26" s="8"/>
      <c r="J26" s="8"/>
      <c r="K26" s="1"/>
      <c r="L26" s="8"/>
      <c r="M26" s="1"/>
      <c r="N26" s="1"/>
      <c r="O26" s="1"/>
      <c r="P26" s="1"/>
      <c r="Q26" s="1"/>
      <c r="R26" s="1"/>
      <c r="S26" s="35"/>
      <c r="U26" s="30" t="s">
        <v>22</v>
      </c>
      <c r="V26" s="30">
        <v>-192.24</v>
      </c>
    </row>
    <row r="27" spans="1:22" ht="15.75" customHeight="1" x14ac:dyDescent="0.25">
      <c r="A27" s="7">
        <v>45817</v>
      </c>
      <c r="B27" s="2"/>
      <c r="C27" s="31" t="s">
        <v>0</v>
      </c>
      <c r="D27" s="15" t="s">
        <v>31</v>
      </c>
      <c r="E27" s="15" t="s">
        <v>32</v>
      </c>
      <c r="F27" s="15" t="s">
        <v>33</v>
      </c>
      <c r="G27" s="15" t="s">
        <v>34</v>
      </c>
      <c r="H27" s="31" t="s">
        <v>3</v>
      </c>
      <c r="I27" s="31" t="s">
        <v>4</v>
      </c>
      <c r="J27" s="31" t="s">
        <v>5</v>
      </c>
      <c r="K27" s="32" t="s">
        <v>6</v>
      </c>
      <c r="L27" s="31" t="s">
        <v>7</v>
      </c>
      <c r="M27" s="32" t="s">
        <v>8</v>
      </c>
      <c r="N27" s="32" t="s">
        <v>25</v>
      </c>
      <c r="O27" s="32" t="s">
        <v>26</v>
      </c>
      <c r="P27" s="32" t="s">
        <v>27</v>
      </c>
      <c r="Q27" s="32" t="s">
        <v>30</v>
      </c>
      <c r="R27" s="1" t="s">
        <v>9</v>
      </c>
      <c r="S27" s="16"/>
      <c r="U27" s="30" t="s">
        <v>16</v>
      </c>
      <c r="V27" s="30">
        <v>-100</v>
      </c>
    </row>
    <row r="28" spans="1:22" ht="15.75" customHeight="1" x14ac:dyDescent="0.25">
      <c r="A28" s="1" t="s">
        <v>10</v>
      </c>
      <c r="B28" s="2"/>
      <c r="C28" s="3">
        <v>7577.95</v>
      </c>
      <c r="D28" s="3">
        <v>854353.5</v>
      </c>
      <c r="E28" s="3">
        <v>374949.8</v>
      </c>
      <c r="F28" s="33">
        <v>406362</v>
      </c>
      <c r="G28" s="38">
        <v>280375.44</v>
      </c>
      <c r="H28" s="3">
        <v>60989.85</v>
      </c>
      <c r="I28" s="3">
        <v>69950.960000000006</v>
      </c>
      <c r="J28" s="3">
        <v>172278.75</v>
      </c>
      <c r="K28" s="3">
        <v>0</v>
      </c>
      <c r="L28" s="3">
        <v>0</v>
      </c>
      <c r="M28" s="12">
        <v>69805.19</v>
      </c>
      <c r="N28" s="12">
        <v>11460</v>
      </c>
      <c r="O28" s="12">
        <v>3929.94</v>
      </c>
      <c r="P28" s="12">
        <v>9596.66</v>
      </c>
      <c r="Q28" s="12">
        <v>51264.39</v>
      </c>
      <c r="R28" s="12">
        <f>C28+D28-E28+H28+I28+J28+K28+L28+M28+N28+O28+P28+Q28</f>
        <v>936257.3899999999</v>
      </c>
      <c r="S28" s="46">
        <f>R28+R29+R30</f>
        <v>939938.98999999987</v>
      </c>
      <c r="U28" s="30" t="s">
        <v>17</v>
      </c>
      <c r="V28" s="30">
        <v>-70</v>
      </c>
    </row>
    <row r="29" spans="1:22" ht="15.75" customHeight="1" x14ac:dyDescent="0.25">
      <c r="A29" s="1" t="s">
        <v>11</v>
      </c>
      <c r="B29" s="2"/>
      <c r="C29" s="3"/>
      <c r="D29" s="3"/>
      <c r="E29" s="3"/>
      <c r="F29" s="13"/>
      <c r="G29" s="29"/>
      <c r="H29" s="3"/>
      <c r="I29" s="3"/>
      <c r="J29" s="3"/>
      <c r="K29" s="3"/>
      <c r="L29" s="3"/>
      <c r="M29" s="12"/>
      <c r="N29" s="12"/>
      <c r="O29" s="12"/>
      <c r="P29" s="12"/>
      <c r="Q29" s="12"/>
      <c r="R29" s="12">
        <f>C29+D29-E29+H29+I29+J29+K29+L29+M29</f>
        <v>0</v>
      </c>
      <c r="S29" s="47"/>
      <c r="U29" s="30" t="s">
        <v>18</v>
      </c>
      <c r="V29" s="30">
        <v>-553</v>
      </c>
    </row>
    <row r="30" spans="1:22" ht="15.75" customHeight="1" x14ac:dyDescent="0.25">
      <c r="A30" s="1" t="s">
        <v>21</v>
      </c>
      <c r="B30" s="12"/>
      <c r="C30" s="3">
        <v>3681.6</v>
      </c>
      <c r="D30" s="3"/>
      <c r="E30" s="3"/>
      <c r="F30" s="13"/>
      <c r="G30" s="28"/>
      <c r="H30" s="9"/>
      <c r="I30" s="9"/>
      <c r="J30" s="9"/>
      <c r="K30" s="9"/>
      <c r="L30" s="9"/>
      <c r="M30" s="12"/>
      <c r="N30" s="12"/>
      <c r="O30" s="12"/>
      <c r="P30" s="12"/>
      <c r="Q30" s="12"/>
      <c r="R30" s="12">
        <f>C30+D30-E30+H30+I30+J30+K30+L30+M30</f>
        <v>3681.6</v>
      </c>
      <c r="S30" s="48"/>
      <c r="U30" s="30" t="s">
        <v>19</v>
      </c>
      <c r="V30" s="30">
        <v>-150</v>
      </c>
    </row>
    <row r="31" spans="1:22" ht="15.75" customHeight="1" x14ac:dyDescent="0.25">
      <c r="A31" s="7"/>
      <c r="B31" s="2"/>
      <c r="C31" s="8"/>
      <c r="D31" s="8"/>
      <c r="E31" s="8"/>
      <c r="F31" s="13"/>
      <c r="G31" s="29"/>
      <c r="H31" s="8"/>
      <c r="I31" s="8"/>
      <c r="J31" s="8"/>
      <c r="K31" s="1"/>
      <c r="L31" s="8"/>
      <c r="M31" s="1"/>
      <c r="N31" s="1"/>
      <c r="O31" s="1"/>
      <c r="P31" s="1"/>
      <c r="Q31" s="1"/>
      <c r="R31" s="1"/>
      <c r="S31" s="46"/>
      <c r="U31" s="30" t="s">
        <v>24</v>
      </c>
      <c r="V31" s="30">
        <v>-200.96</v>
      </c>
    </row>
    <row r="32" spans="1:22" ht="15.75" customHeight="1" x14ac:dyDescent="0.25">
      <c r="A32" s="7">
        <v>45817</v>
      </c>
      <c r="B32" s="2"/>
      <c r="C32" s="31" t="s">
        <v>0</v>
      </c>
      <c r="D32" s="15" t="s">
        <v>31</v>
      </c>
      <c r="E32" s="15" t="s">
        <v>32</v>
      </c>
      <c r="F32" s="15" t="s">
        <v>33</v>
      </c>
      <c r="G32" s="15" t="s">
        <v>34</v>
      </c>
      <c r="H32" s="31" t="s">
        <v>3</v>
      </c>
      <c r="I32" s="31" t="s">
        <v>4</v>
      </c>
      <c r="J32" s="31" t="s">
        <v>5</v>
      </c>
      <c r="K32" s="32" t="s">
        <v>6</v>
      </c>
      <c r="L32" s="31" t="s">
        <v>7</v>
      </c>
      <c r="M32" s="32" t="s">
        <v>8</v>
      </c>
      <c r="N32" s="32" t="s">
        <v>25</v>
      </c>
      <c r="O32" s="32" t="s">
        <v>26</v>
      </c>
      <c r="P32" s="32" t="s">
        <v>27</v>
      </c>
      <c r="Q32" s="32" t="s">
        <v>30</v>
      </c>
      <c r="R32" s="1" t="s">
        <v>9</v>
      </c>
      <c r="S32" s="48"/>
      <c r="U32" s="30" t="s">
        <v>28</v>
      </c>
      <c r="V32" s="30">
        <v>-2400</v>
      </c>
    </row>
    <row r="33" spans="1:22" ht="15.75" customHeight="1" x14ac:dyDescent="0.25">
      <c r="A33" s="1" t="s">
        <v>10</v>
      </c>
      <c r="B33" s="2"/>
      <c r="C33" s="3">
        <v>7577.95</v>
      </c>
      <c r="D33" s="3">
        <v>854353.5</v>
      </c>
      <c r="E33" s="3">
        <v>388681.44</v>
      </c>
      <c r="F33" s="33">
        <v>406362</v>
      </c>
      <c r="G33" s="34">
        <v>388681.44</v>
      </c>
      <c r="H33" s="3">
        <v>55477.36</v>
      </c>
      <c r="I33" s="3">
        <v>59243.66</v>
      </c>
      <c r="J33" s="3">
        <v>137490.51</v>
      </c>
      <c r="K33" s="39">
        <v>25808.75</v>
      </c>
      <c r="L33" s="3">
        <v>0</v>
      </c>
      <c r="M33" s="12">
        <v>62943.57</v>
      </c>
      <c r="N33" s="12">
        <v>11184</v>
      </c>
      <c r="O33" s="12">
        <v>2366.1999999999998</v>
      </c>
      <c r="P33" s="12">
        <v>6563.86</v>
      </c>
      <c r="Q33" s="12"/>
      <c r="R33" s="12">
        <f>C33+D33-E33+H33+I33+J33+K33+L33+M33+N33+O33+P33</f>
        <v>834327.91999999993</v>
      </c>
      <c r="S33" s="46">
        <f>R33+R34+R35</f>
        <v>877066.45</v>
      </c>
      <c r="U33" s="30" t="s">
        <v>29</v>
      </c>
      <c r="V33" s="30">
        <v>-120</v>
      </c>
    </row>
    <row r="34" spans="1:22" ht="15.75" customHeight="1" x14ac:dyDescent="0.25">
      <c r="A34" s="1" t="s">
        <v>11</v>
      </c>
      <c r="B34" s="2"/>
      <c r="C34" s="3"/>
      <c r="D34" s="3"/>
      <c r="E34" s="3"/>
      <c r="F34" s="13"/>
      <c r="G34" s="29"/>
      <c r="H34" s="3"/>
      <c r="I34" s="3"/>
      <c r="J34" s="3">
        <v>39056.93</v>
      </c>
      <c r="K34" s="3"/>
      <c r="L34" s="3"/>
      <c r="M34" s="12"/>
      <c r="N34" s="12"/>
      <c r="O34" s="12"/>
      <c r="P34" s="12"/>
      <c r="Q34" s="12"/>
      <c r="R34" s="12">
        <f>C34+D34-E34+H34+I34+J34+K34+L34+M34</f>
        <v>39056.93</v>
      </c>
      <c r="S34" s="47"/>
      <c r="U34" s="30" t="s">
        <v>20</v>
      </c>
      <c r="V34" s="30">
        <v>-550</v>
      </c>
    </row>
    <row r="35" spans="1:22" ht="15.75" customHeight="1" x14ac:dyDescent="0.25">
      <c r="A35" s="1" t="s">
        <v>21</v>
      </c>
      <c r="B35" s="2"/>
      <c r="C35" s="3">
        <v>3681.6</v>
      </c>
      <c r="D35" s="3"/>
      <c r="E35" s="3"/>
      <c r="F35" s="13"/>
      <c r="G35" s="29"/>
      <c r="H35" s="3"/>
      <c r="I35" s="3"/>
      <c r="J35" s="3"/>
      <c r="K35" s="3"/>
      <c r="L35" s="3"/>
      <c r="M35" s="12"/>
      <c r="N35" s="12"/>
      <c r="O35" s="12"/>
      <c r="P35" s="12"/>
      <c r="Q35" s="12"/>
      <c r="R35" s="12">
        <f>C35+D35-E35+H35+I35+J35+K35+L35+M35</f>
        <v>3681.6</v>
      </c>
      <c r="S35" s="48"/>
      <c r="V35" s="30">
        <f>SUM(V20:V34)</f>
        <v>4888.47</v>
      </c>
    </row>
    <row r="36" spans="1:22" ht="15.75" customHeight="1" x14ac:dyDescent="0.25">
      <c r="A36" s="1"/>
      <c r="B36" s="12"/>
      <c r="C36" s="9"/>
      <c r="D36" s="9"/>
      <c r="E36" s="9"/>
      <c r="F36" s="27"/>
      <c r="G36" s="28"/>
      <c r="H36" s="9"/>
      <c r="I36" s="9"/>
      <c r="J36" s="9"/>
      <c r="K36" s="9"/>
      <c r="L36" s="9"/>
      <c r="M36" s="12"/>
      <c r="N36" s="12"/>
      <c r="O36" s="12"/>
      <c r="P36" s="12"/>
      <c r="Q36" s="12"/>
      <c r="R36" s="12"/>
      <c r="S36" s="35"/>
    </row>
    <row r="37" spans="1:22" ht="15.75" customHeight="1" x14ac:dyDescent="0.25">
      <c r="A37" s="7">
        <v>45882</v>
      </c>
      <c r="B37" s="2"/>
      <c r="C37" s="31" t="s">
        <v>0</v>
      </c>
      <c r="D37" s="15" t="s">
        <v>31</v>
      </c>
      <c r="E37" s="15" t="s">
        <v>32</v>
      </c>
      <c r="F37" s="15" t="s">
        <v>33</v>
      </c>
      <c r="G37" s="15" t="s">
        <v>34</v>
      </c>
      <c r="H37" s="31" t="s">
        <v>3</v>
      </c>
      <c r="I37" s="31" t="s">
        <v>4</v>
      </c>
      <c r="J37" s="31" t="s">
        <v>5</v>
      </c>
      <c r="K37" s="32" t="s">
        <v>6</v>
      </c>
      <c r="L37" s="31" t="s">
        <v>7</v>
      </c>
      <c r="M37" s="32" t="s">
        <v>8</v>
      </c>
      <c r="N37" s="32" t="s">
        <v>25</v>
      </c>
      <c r="O37" s="32" t="s">
        <v>26</v>
      </c>
      <c r="P37" s="32" t="s">
        <v>27</v>
      </c>
      <c r="Q37" s="32" t="s">
        <v>30</v>
      </c>
      <c r="R37" s="1" t="s">
        <v>9</v>
      </c>
      <c r="S37" s="16"/>
    </row>
    <row r="38" spans="1:22" ht="15.75" customHeight="1" x14ac:dyDescent="0.25">
      <c r="A38" s="1" t="s">
        <v>10</v>
      </c>
      <c r="B38" s="2"/>
      <c r="C38" s="3">
        <v>19834</v>
      </c>
      <c r="D38" s="3">
        <v>840774</v>
      </c>
      <c r="E38" s="3">
        <v>372415.78</v>
      </c>
      <c r="F38" s="33">
        <v>403059.5</v>
      </c>
      <c r="G38" s="34">
        <v>279949.15000000002</v>
      </c>
      <c r="H38" s="3">
        <v>64531.74</v>
      </c>
      <c r="I38" s="3">
        <v>79052.17</v>
      </c>
      <c r="J38" s="3">
        <v>186366.5</v>
      </c>
      <c r="K38" s="3">
        <v>27920.82</v>
      </c>
      <c r="L38" s="3">
        <v>0</v>
      </c>
      <c r="M38" s="12">
        <v>74456.59</v>
      </c>
      <c r="N38" s="12">
        <v>11496</v>
      </c>
      <c r="O38" s="12">
        <v>3748.87</v>
      </c>
      <c r="P38" s="12">
        <v>11020.79</v>
      </c>
      <c r="Q38" s="12">
        <v>51566.52</v>
      </c>
      <c r="R38" s="12">
        <f>C38+D38-E38+H38+I38+J38+K38+L38+M38+N38+O38+P38+Q38</f>
        <v>998352.22</v>
      </c>
      <c r="S38" s="46">
        <f>R38+R39+R40</f>
        <v>1105674.2999999998</v>
      </c>
    </row>
    <row r="39" spans="1:22" ht="15.75" customHeight="1" x14ac:dyDescent="0.25">
      <c r="A39" s="1" t="s">
        <v>11</v>
      </c>
      <c r="B39" s="2"/>
      <c r="C39" s="3">
        <v>39753.5</v>
      </c>
      <c r="D39" s="3"/>
      <c r="E39" s="3"/>
      <c r="F39" s="13"/>
      <c r="G39" s="29"/>
      <c r="H39" s="3"/>
      <c r="I39" s="3"/>
      <c r="J39" s="3">
        <v>63886.7</v>
      </c>
      <c r="K39" s="3"/>
      <c r="L39" s="3"/>
      <c r="M39" s="12"/>
      <c r="N39" s="12"/>
      <c r="O39" s="12"/>
      <c r="P39" s="12"/>
      <c r="Q39" s="12"/>
      <c r="R39" s="12">
        <f>C39+D39-E39+H39+I39+J39+K39+L39+M39</f>
        <v>103640.2</v>
      </c>
      <c r="S39" s="47"/>
    </row>
    <row r="40" spans="1:22" ht="15.75" customHeight="1" x14ac:dyDescent="0.25">
      <c r="A40" s="1" t="s">
        <v>21</v>
      </c>
      <c r="B40" s="2"/>
      <c r="C40" s="3">
        <v>3681.88</v>
      </c>
      <c r="D40" s="3"/>
      <c r="E40" s="3"/>
      <c r="F40" s="13"/>
      <c r="G40" s="29"/>
      <c r="H40" s="3"/>
      <c r="I40" s="3"/>
      <c r="J40" s="3"/>
      <c r="K40" s="3"/>
      <c r="L40" s="3"/>
      <c r="M40" s="12"/>
      <c r="N40" s="12"/>
      <c r="O40" s="12"/>
      <c r="P40" s="12"/>
      <c r="Q40" s="12"/>
      <c r="R40" s="12">
        <f>C40+D40-E40+H40+I40+J40+K40+L40+M40</f>
        <v>3681.88</v>
      </c>
      <c r="S40" s="48"/>
    </row>
    <row r="41" spans="1:22" ht="15.75" customHeight="1" x14ac:dyDescent="0.25">
      <c r="A41" s="1"/>
      <c r="B41" s="12"/>
      <c r="C41" s="9"/>
      <c r="D41" s="9"/>
      <c r="E41" s="9"/>
      <c r="F41" s="27"/>
      <c r="G41" s="28"/>
      <c r="H41" s="9"/>
      <c r="I41" s="9"/>
      <c r="J41" s="9"/>
      <c r="K41" s="9"/>
      <c r="L41" s="9"/>
      <c r="M41" s="12"/>
      <c r="N41" s="12"/>
      <c r="O41" s="12"/>
      <c r="P41" s="12"/>
      <c r="Q41" s="12"/>
      <c r="R41" s="12"/>
      <c r="S41" s="46"/>
    </row>
    <row r="42" spans="1:22" ht="15.75" customHeight="1" x14ac:dyDescent="0.25">
      <c r="A42" s="7">
        <v>45905</v>
      </c>
      <c r="B42" s="2"/>
      <c r="C42" s="31" t="s">
        <v>0</v>
      </c>
      <c r="D42" s="15" t="s">
        <v>31</v>
      </c>
      <c r="E42" s="15" t="s">
        <v>32</v>
      </c>
      <c r="F42" s="15" t="s">
        <v>33</v>
      </c>
      <c r="G42" s="15" t="s">
        <v>34</v>
      </c>
      <c r="H42" s="31" t="s">
        <v>3</v>
      </c>
      <c r="I42" s="31" t="s">
        <v>4</v>
      </c>
      <c r="J42" s="31" t="s">
        <v>5</v>
      </c>
      <c r="K42" s="32" t="s">
        <v>6</v>
      </c>
      <c r="L42" s="31" t="s">
        <v>7</v>
      </c>
      <c r="M42" s="32" t="s">
        <v>8</v>
      </c>
      <c r="N42" s="32" t="s">
        <v>25</v>
      </c>
      <c r="O42" s="32" t="s">
        <v>26</v>
      </c>
      <c r="P42" s="32" t="s">
        <v>27</v>
      </c>
      <c r="Q42" s="32" t="s">
        <v>30</v>
      </c>
      <c r="R42" s="1" t="s">
        <v>9</v>
      </c>
      <c r="S42" s="48"/>
    </row>
    <row r="43" spans="1:22" ht="15.75" customHeight="1" x14ac:dyDescent="0.25">
      <c r="A43" s="1" t="s">
        <v>10</v>
      </c>
      <c r="B43" s="2"/>
      <c r="C43" s="3">
        <v>9998.2999999999993</v>
      </c>
      <c r="D43" s="3">
        <v>846496</v>
      </c>
      <c r="E43" s="3">
        <v>371144.41</v>
      </c>
      <c r="F43" s="33">
        <v>399681.5</v>
      </c>
      <c r="G43" s="34">
        <v>279734</v>
      </c>
      <c r="H43" s="3">
        <v>65144.21</v>
      </c>
      <c r="I43" s="3">
        <v>77776.19</v>
      </c>
      <c r="J43" s="3">
        <v>192087.75</v>
      </c>
      <c r="K43" s="3">
        <v>30386.54</v>
      </c>
      <c r="L43" s="3">
        <v>0</v>
      </c>
      <c r="M43" s="12">
        <v>74882.75</v>
      </c>
      <c r="N43" s="12">
        <v>11524</v>
      </c>
      <c r="O43" s="12">
        <v>3941.44</v>
      </c>
      <c r="P43" s="12">
        <v>11244.44</v>
      </c>
      <c r="Q43" s="12">
        <v>51717.41</v>
      </c>
      <c r="R43" s="12">
        <f>C43+D43-E43+H43+I43+J43+K43+L43+M43+N43+O43+P43+Q43</f>
        <v>1004054.62</v>
      </c>
      <c r="S43" s="46">
        <f>R43+R44+R45</f>
        <v>1118438.52</v>
      </c>
    </row>
    <row r="44" spans="1:22" ht="15.75" customHeight="1" x14ac:dyDescent="0.25">
      <c r="A44" s="1" t="s">
        <v>11</v>
      </c>
      <c r="B44" s="2"/>
      <c r="C44" s="3">
        <v>44325.31</v>
      </c>
      <c r="D44" s="3"/>
      <c r="E44" s="3"/>
      <c r="F44" s="13"/>
      <c r="G44" s="29"/>
      <c r="H44" s="3"/>
      <c r="I44" s="3"/>
      <c r="J44" s="40">
        <v>66376.59</v>
      </c>
      <c r="K44" s="3"/>
      <c r="L44" s="3"/>
      <c r="N44" s="12"/>
      <c r="O44" s="12"/>
      <c r="P44" s="12"/>
      <c r="Q44" s="12"/>
      <c r="R44" s="12">
        <f>C44+D44-E44+H44+I44+J44+K44+L44+M44+N44+O44+P44+Q44</f>
        <v>110701.9</v>
      </c>
      <c r="S44" s="47"/>
    </row>
    <row r="45" spans="1:22" ht="15.75" customHeight="1" x14ac:dyDescent="0.25">
      <c r="A45" s="1" t="s">
        <v>21</v>
      </c>
      <c r="B45" s="2"/>
      <c r="C45" s="3">
        <v>3682</v>
      </c>
      <c r="D45" s="3"/>
      <c r="E45" s="3"/>
      <c r="F45" s="13"/>
      <c r="G45" s="29"/>
      <c r="H45" s="3"/>
      <c r="I45" s="3"/>
      <c r="J45" s="3"/>
      <c r="K45" s="3"/>
      <c r="L45" s="3"/>
      <c r="M45" s="12"/>
      <c r="N45" s="12"/>
      <c r="O45" s="12"/>
      <c r="P45" s="12"/>
      <c r="Q45" s="12"/>
      <c r="R45" s="12">
        <f>C45+D45-E45+H45+I45+J45+K45+L45+M45+N45+O45+P45+Q45</f>
        <v>3682</v>
      </c>
      <c r="S45" s="48"/>
    </row>
    <row r="46" spans="1:22" ht="15.75" customHeight="1" x14ac:dyDescent="0.25">
      <c r="A46" s="1"/>
      <c r="B46" s="12"/>
      <c r="C46" s="9"/>
      <c r="D46" s="9"/>
      <c r="E46" s="9"/>
      <c r="F46" s="27"/>
      <c r="G46" s="28"/>
      <c r="H46" s="9"/>
      <c r="I46" s="9"/>
      <c r="J46" s="9"/>
      <c r="K46" s="9"/>
      <c r="L46" s="9"/>
      <c r="M46" s="12"/>
      <c r="N46" s="12"/>
      <c r="O46" s="12"/>
      <c r="P46" s="12"/>
      <c r="Q46" s="12"/>
      <c r="R46" s="12"/>
      <c r="S46" s="35"/>
    </row>
    <row r="47" spans="1:22" ht="15.75" customHeight="1" x14ac:dyDescent="0.25">
      <c r="A47" s="7">
        <v>45933</v>
      </c>
      <c r="B47" s="2"/>
      <c r="C47" s="31" t="s">
        <v>0</v>
      </c>
      <c r="D47" s="15" t="s">
        <v>31</v>
      </c>
      <c r="E47" s="15" t="s">
        <v>32</v>
      </c>
      <c r="F47" s="15" t="s">
        <v>33</v>
      </c>
      <c r="G47" s="15" t="s">
        <v>34</v>
      </c>
      <c r="H47" s="31" t="s">
        <v>3</v>
      </c>
      <c r="I47" s="31" t="s">
        <v>4</v>
      </c>
      <c r="J47" s="31" t="s">
        <v>5</v>
      </c>
      <c r="K47" s="32" t="s">
        <v>6</v>
      </c>
      <c r="L47" s="31" t="s">
        <v>7</v>
      </c>
      <c r="M47" s="32" t="s">
        <v>8</v>
      </c>
      <c r="N47" s="32" t="s">
        <v>25</v>
      </c>
      <c r="O47" s="32" t="s">
        <v>26</v>
      </c>
      <c r="P47" s="32" t="s">
        <v>27</v>
      </c>
      <c r="Q47" s="32" t="s">
        <v>30</v>
      </c>
      <c r="R47" s="1" t="s">
        <v>9</v>
      </c>
      <c r="S47" s="16"/>
    </row>
    <row r="48" spans="1:22" ht="15.75" customHeight="1" x14ac:dyDescent="0.25">
      <c r="A48" s="1" t="s">
        <v>10</v>
      </c>
      <c r="B48" s="2"/>
      <c r="C48" s="3">
        <v>1494.44</v>
      </c>
      <c r="D48" s="3">
        <v>839500</v>
      </c>
      <c r="E48" s="3">
        <v>369870.13</v>
      </c>
      <c r="F48" s="33">
        <v>397599</v>
      </c>
      <c r="G48" s="34">
        <v>279517.51</v>
      </c>
      <c r="H48" s="3">
        <v>66686.38</v>
      </c>
      <c r="I48" s="3">
        <v>83426.759999999995</v>
      </c>
      <c r="J48" s="3">
        <v>195620.09</v>
      </c>
      <c r="K48" s="3">
        <v>0</v>
      </c>
      <c r="L48" s="3">
        <v>0</v>
      </c>
      <c r="M48" s="12">
        <v>77798.7</v>
      </c>
      <c r="N48" s="12">
        <v>11552</v>
      </c>
      <c r="O48" s="12">
        <v>4119.47</v>
      </c>
      <c r="P48" s="12">
        <v>11786.19</v>
      </c>
      <c r="Q48" s="12">
        <v>51717.41</v>
      </c>
      <c r="R48" s="12">
        <f>C48+D48-E48+H48+I48+J48+K48+L48+M48+N48+O48+P48+Q48</f>
        <v>973831.30999999982</v>
      </c>
      <c r="S48" s="46">
        <f>R48+R49+R50</f>
        <v>1122468.3399999999</v>
      </c>
    </row>
    <row r="49" spans="1:19" ht="15.75" customHeight="1" x14ac:dyDescent="0.25">
      <c r="A49" s="1" t="s">
        <v>11</v>
      </c>
      <c r="B49" s="2"/>
      <c r="C49" s="3">
        <v>80038</v>
      </c>
      <c r="D49" s="3"/>
      <c r="E49" s="3"/>
      <c r="F49" s="13"/>
      <c r="G49" s="29"/>
      <c r="H49" s="3"/>
      <c r="I49" s="3"/>
      <c r="J49" s="3">
        <v>68598.8</v>
      </c>
      <c r="K49" s="3"/>
      <c r="L49" s="3"/>
      <c r="M49" s="12"/>
      <c r="N49" s="12"/>
      <c r="O49" s="12"/>
      <c r="P49" s="12"/>
      <c r="Q49" s="12"/>
      <c r="R49" s="12">
        <f>C49+D49-E49+H49+I49+J49+K49+L49+M49+N49+O49+P49+Q49</f>
        <v>148636.79999999999</v>
      </c>
      <c r="S49" s="47"/>
    </row>
    <row r="50" spans="1:19" ht="15.75" customHeight="1" x14ac:dyDescent="0.25">
      <c r="A50" s="1" t="s">
        <v>21</v>
      </c>
      <c r="B50" s="2"/>
      <c r="C50" s="3">
        <v>0.23</v>
      </c>
      <c r="D50" s="3"/>
      <c r="E50" s="3"/>
      <c r="F50" s="13"/>
      <c r="G50" s="29"/>
      <c r="H50" s="3"/>
      <c r="I50" s="3"/>
      <c r="J50" s="3"/>
      <c r="K50" s="3"/>
      <c r="L50" s="3"/>
      <c r="M50" s="12"/>
      <c r="N50" s="12"/>
      <c r="O50" s="12"/>
      <c r="P50" s="12"/>
      <c r="Q50" s="12"/>
      <c r="R50" s="12">
        <f>C50+D50-E50+H50+I50+J50+K50+L50+M50+N50+O50+P50+Q50</f>
        <v>0.23</v>
      </c>
      <c r="S50" s="48"/>
    </row>
    <row r="51" spans="1:19" ht="15.75" customHeight="1" x14ac:dyDescent="0.25">
      <c r="A51" s="1"/>
      <c r="B51" s="12"/>
      <c r="C51" s="9"/>
      <c r="D51" s="9"/>
      <c r="E51" s="9"/>
      <c r="F51" s="27"/>
      <c r="G51" s="28"/>
      <c r="H51" s="9"/>
      <c r="I51" s="9"/>
      <c r="J51" s="9"/>
      <c r="K51" s="9"/>
      <c r="L51" s="9"/>
      <c r="M51" s="12"/>
      <c r="N51" s="12"/>
      <c r="O51" s="12"/>
      <c r="P51" s="12"/>
      <c r="Q51" s="12"/>
      <c r="R51" s="12"/>
      <c r="S51" s="46"/>
    </row>
    <row r="52" spans="1:19" ht="15.75" customHeight="1" x14ac:dyDescent="0.25">
      <c r="A52" s="7">
        <v>45963</v>
      </c>
      <c r="B52" s="2"/>
      <c r="C52" s="31" t="s">
        <v>0</v>
      </c>
      <c r="D52" s="15" t="s">
        <v>31</v>
      </c>
      <c r="E52" s="15" t="s">
        <v>32</v>
      </c>
      <c r="F52" s="15" t="s">
        <v>33</v>
      </c>
      <c r="G52" s="15" t="s">
        <v>34</v>
      </c>
      <c r="H52" s="31" t="s">
        <v>3</v>
      </c>
      <c r="I52" s="31" t="s">
        <v>4</v>
      </c>
      <c r="J52" s="31" t="s">
        <v>5</v>
      </c>
      <c r="K52" s="32" t="s">
        <v>6</v>
      </c>
      <c r="L52" s="31" t="s">
        <v>7</v>
      </c>
      <c r="M52" s="32" t="s">
        <v>8</v>
      </c>
      <c r="N52" s="32" t="s">
        <v>25</v>
      </c>
      <c r="O52" s="32" t="s">
        <v>26</v>
      </c>
      <c r="P52" s="32" t="s">
        <v>27</v>
      </c>
      <c r="Q52" s="32" t="s">
        <v>30</v>
      </c>
      <c r="R52" s="1" t="s">
        <v>9</v>
      </c>
      <c r="S52" s="48"/>
    </row>
    <row r="53" spans="1:19" ht="15.75" customHeight="1" x14ac:dyDescent="0.25">
      <c r="A53" s="1" t="s">
        <v>10</v>
      </c>
      <c r="B53" s="2"/>
      <c r="C53" s="3">
        <v>5739</v>
      </c>
      <c r="D53" s="3">
        <v>829633.5</v>
      </c>
      <c r="E53" s="3">
        <v>368592.93</v>
      </c>
      <c r="F53" s="33">
        <v>384940.5</v>
      </c>
      <c r="G53" s="34">
        <v>288000</v>
      </c>
      <c r="H53" s="3">
        <v>66831</v>
      </c>
      <c r="I53" s="3">
        <v>89586</v>
      </c>
      <c r="J53" s="3">
        <v>195947</v>
      </c>
      <c r="K53" s="3">
        <v>0</v>
      </c>
      <c r="L53" s="3">
        <v>0</v>
      </c>
      <c r="M53" s="12">
        <v>78422</v>
      </c>
      <c r="N53" s="12">
        <v>11304</v>
      </c>
      <c r="O53" s="12">
        <v>4030.86</v>
      </c>
      <c r="P53" s="12">
        <v>12059.63</v>
      </c>
      <c r="Q53" s="12">
        <v>51863</v>
      </c>
      <c r="R53" s="12">
        <f>C53+D53-E53+H53+I53+J53+K53+L53+M53+N53+O53+P53+Q53</f>
        <v>976823.06</v>
      </c>
      <c r="S53" s="46">
        <f>R53+R54+R55</f>
        <v>1132348.44</v>
      </c>
    </row>
    <row r="54" spans="1:19" ht="15.75" customHeight="1" x14ac:dyDescent="0.25">
      <c r="A54" s="1" t="s">
        <v>11</v>
      </c>
      <c r="B54" s="2"/>
      <c r="C54" s="30">
        <v>85512</v>
      </c>
      <c r="D54" s="3"/>
      <c r="E54" s="3"/>
      <c r="F54" s="13"/>
      <c r="G54" s="29"/>
      <c r="H54" s="3"/>
      <c r="I54" s="3"/>
      <c r="J54" s="3">
        <v>70013.11</v>
      </c>
      <c r="K54" s="3"/>
      <c r="L54" s="3"/>
      <c r="M54" s="12"/>
      <c r="N54" s="12"/>
      <c r="O54" s="12"/>
      <c r="P54" s="12"/>
      <c r="Q54" s="12"/>
      <c r="R54" s="12">
        <f>C54+D54-E54+H54+I54+J54+K54+L54+M54+N54+O54+P54+Q54</f>
        <v>155525.10999999999</v>
      </c>
      <c r="S54" s="47"/>
    </row>
    <row r="55" spans="1:19" ht="15.75" customHeight="1" x14ac:dyDescent="0.25">
      <c r="A55" s="1" t="s">
        <v>21</v>
      </c>
      <c r="B55" s="2"/>
      <c r="C55" s="3">
        <v>0.27</v>
      </c>
      <c r="D55" s="3"/>
      <c r="E55" s="3"/>
      <c r="F55" s="13"/>
      <c r="G55" s="29"/>
      <c r="H55" s="3"/>
      <c r="I55" s="3"/>
      <c r="J55" s="3"/>
      <c r="K55" s="3"/>
      <c r="L55" s="3"/>
      <c r="M55" s="12"/>
      <c r="N55" s="12"/>
      <c r="O55" s="12"/>
      <c r="P55" s="12"/>
      <c r="Q55" s="12"/>
      <c r="R55" s="12">
        <f>C55+D55-E55+H55+I55+J55+K55+L55+M55+N55+O55+P55+Q55</f>
        <v>0.27</v>
      </c>
      <c r="S55" s="48"/>
    </row>
    <row r="56" spans="1:19" ht="15.75" customHeight="1" x14ac:dyDescent="0.25">
      <c r="A56" s="1"/>
      <c r="B56" s="12"/>
      <c r="C56" s="9"/>
      <c r="D56" s="9"/>
      <c r="E56" s="9"/>
      <c r="F56" s="27"/>
      <c r="G56" s="28"/>
      <c r="H56" s="9"/>
      <c r="I56" s="9"/>
      <c r="J56" s="9"/>
      <c r="K56" s="9"/>
      <c r="L56" s="9"/>
      <c r="M56" s="12"/>
      <c r="N56" s="12"/>
      <c r="O56" s="12"/>
      <c r="P56" s="12"/>
      <c r="Q56" s="12"/>
      <c r="R56" s="12"/>
      <c r="S56" s="46"/>
    </row>
    <row r="57" spans="1:19" ht="15.75" customHeight="1" x14ac:dyDescent="0.25">
      <c r="A57" s="7">
        <v>44905</v>
      </c>
      <c r="B57" s="2"/>
      <c r="C57" s="31" t="s">
        <v>0</v>
      </c>
      <c r="D57" s="15" t="s">
        <v>31</v>
      </c>
      <c r="E57" s="15" t="s">
        <v>32</v>
      </c>
      <c r="F57" s="15" t="s">
        <v>33</v>
      </c>
      <c r="G57" s="15" t="s">
        <v>34</v>
      </c>
      <c r="H57" s="31" t="s">
        <v>3</v>
      </c>
      <c r="I57" s="31" t="s">
        <v>4</v>
      </c>
      <c r="J57" s="31" t="s">
        <v>5</v>
      </c>
      <c r="K57" s="32" t="s">
        <v>6</v>
      </c>
      <c r="L57" s="31" t="s">
        <v>7</v>
      </c>
      <c r="M57" s="32" t="s">
        <v>8</v>
      </c>
      <c r="N57" s="32" t="s">
        <v>25</v>
      </c>
      <c r="O57" s="32" t="s">
        <v>26</v>
      </c>
      <c r="P57" s="32" t="s">
        <v>27</v>
      </c>
      <c r="Q57" s="32" t="s">
        <v>30</v>
      </c>
      <c r="R57" s="1" t="s">
        <v>9</v>
      </c>
      <c r="S57" s="48"/>
    </row>
    <row r="58" spans="1:19" ht="15.75" customHeight="1" x14ac:dyDescent="0.25">
      <c r="A58" s="1" t="s">
        <v>10</v>
      </c>
      <c r="B58" s="2"/>
      <c r="C58" s="3"/>
      <c r="D58" s="3"/>
      <c r="E58" s="3"/>
      <c r="F58" s="13"/>
      <c r="G58" s="29"/>
      <c r="H58" s="3"/>
      <c r="I58" s="3"/>
      <c r="J58" s="3"/>
      <c r="K58" s="3"/>
      <c r="L58" s="3"/>
      <c r="M58" s="12"/>
      <c r="N58" s="12"/>
      <c r="O58" s="12"/>
      <c r="P58" s="12"/>
      <c r="Q58" s="12"/>
      <c r="R58" s="12">
        <f>C58+D58-E58+H58+I58+J58+K58+L58+M58+N58+O58+P58+Q58</f>
        <v>0</v>
      </c>
      <c r="S58" s="46">
        <f>R58+R59+R60</f>
        <v>0</v>
      </c>
    </row>
    <row r="59" spans="1:19" ht="15.75" customHeight="1" x14ac:dyDescent="0.25">
      <c r="A59" s="1" t="s">
        <v>11</v>
      </c>
      <c r="B59" s="2"/>
      <c r="C59" s="3"/>
      <c r="D59" s="3"/>
      <c r="E59" s="3"/>
      <c r="F59" s="13"/>
      <c r="G59" s="29"/>
      <c r="H59" s="3"/>
      <c r="I59" s="3"/>
      <c r="J59" s="3"/>
      <c r="K59" s="3"/>
      <c r="L59" s="3"/>
      <c r="M59" s="12"/>
      <c r="N59" s="12"/>
      <c r="O59" s="12"/>
      <c r="P59" s="12"/>
      <c r="Q59" s="12"/>
      <c r="R59" s="12">
        <f>C59+D59-E59+H59+I59+J59+K59+L59+M59+N59+O59+P59+Q59</f>
        <v>0</v>
      </c>
      <c r="S59" s="47"/>
    </row>
    <row r="60" spans="1:19" ht="15.75" customHeight="1" x14ac:dyDescent="0.25">
      <c r="A60" s="1" t="s">
        <v>21</v>
      </c>
      <c r="B60" s="2"/>
      <c r="C60" s="3"/>
      <c r="D60" s="3"/>
      <c r="E60" s="3"/>
      <c r="F60" s="13"/>
      <c r="G60" s="29"/>
      <c r="H60" s="3"/>
      <c r="I60" s="3"/>
      <c r="J60" s="3"/>
      <c r="K60" s="3"/>
      <c r="L60" s="3"/>
      <c r="M60" s="12"/>
      <c r="N60" s="12"/>
      <c r="O60" s="12"/>
      <c r="P60" s="12"/>
      <c r="Q60" s="12"/>
      <c r="R60" s="12">
        <f>C60+D60-E60+H60+I60+J60+K60+L60+M60+N60+O60+P60+Q60</f>
        <v>0</v>
      </c>
      <c r="S60" s="48"/>
    </row>
    <row r="61" spans="1:19" ht="15.75" customHeight="1" x14ac:dyDescent="0.25">
      <c r="F61" s="42"/>
      <c r="G61" s="43"/>
    </row>
    <row r="62" spans="1:19" ht="15.75" customHeight="1" x14ac:dyDescent="0.25">
      <c r="F62" s="42"/>
      <c r="G62" s="43"/>
    </row>
    <row r="63" spans="1:19" ht="15.75" customHeight="1" x14ac:dyDescent="0.25">
      <c r="F63" s="42"/>
      <c r="G63" s="43"/>
    </row>
    <row r="64" spans="1:19" ht="15.75" customHeight="1" x14ac:dyDescent="0.25">
      <c r="F64" s="42"/>
      <c r="G64" s="43"/>
    </row>
    <row r="65" spans="6:7" ht="15.75" customHeight="1" x14ac:dyDescent="0.25">
      <c r="F65" s="42"/>
      <c r="G65" s="43"/>
    </row>
    <row r="66" spans="6:7" ht="15.75" customHeight="1" x14ac:dyDescent="0.25">
      <c r="F66" s="42"/>
      <c r="G66" s="43"/>
    </row>
    <row r="67" spans="6:7" ht="15.75" customHeight="1" x14ac:dyDescent="0.25">
      <c r="F67" s="42"/>
      <c r="G67" s="43"/>
    </row>
    <row r="68" spans="6:7" ht="15.75" customHeight="1" x14ac:dyDescent="0.25">
      <c r="F68" s="42"/>
      <c r="G68" s="43"/>
    </row>
    <row r="69" spans="6:7" ht="15.75" customHeight="1" x14ac:dyDescent="0.25">
      <c r="F69" s="42"/>
      <c r="G69" s="43"/>
    </row>
    <row r="70" spans="6:7" ht="15.75" customHeight="1" x14ac:dyDescent="0.25">
      <c r="F70" s="42"/>
      <c r="G70" s="43"/>
    </row>
    <row r="71" spans="6:7" ht="15.75" customHeight="1" x14ac:dyDescent="0.25">
      <c r="F71" s="42"/>
      <c r="G71" s="43"/>
    </row>
    <row r="72" spans="6:7" ht="15.75" customHeight="1" x14ac:dyDescent="0.25">
      <c r="F72" s="42"/>
      <c r="G72" s="43"/>
    </row>
    <row r="73" spans="6:7" ht="15.75" customHeight="1" x14ac:dyDescent="0.25">
      <c r="F73" s="42"/>
      <c r="G73" s="43"/>
    </row>
    <row r="74" spans="6:7" ht="15.75" customHeight="1" x14ac:dyDescent="0.25">
      <c r="F74" s="42"/>
      <c r="G74" s="43"/>
    </row>
    <row r="75" spans="6:7" ht="15.75" customHeight="1" x14ac:dyDescent="0.25">
      <c r="F75" s="42"/>
      <c r="G75" s="43"/>
    </row>
    <row r="76" spans="6:7" ht="15.75" customHeight="1" x14ac:dyDescent="0.25">
      <c r="F76" s="42"/>
      <c r="G76" s="43"/>
    </row>
    <row r="77" spans="6:7" ht="15.75" customHeight="1" x14ac:dyDescent="0.25">
      <c r="F77" s="42"/>
      <c r="G77" s="43"/>
    </row>
    <row r="78" spans="6:7" ht="15.75" customHeight="1" x14ac:dyDescent="0.25">
      <c r="F78" s="42"/>
      <c r="G78" s="43"/>
    </row>
    <row r="79" spans="6:7" ht="15.75" customHeight="1" x14ac:dyDescent="0.25">
      <c r="F79" s="42"/>
      <c r="G79" s="43"/>
    </row>
    <row r="80" spans="6:7" ht="15.75" customHeight="1" x14ac:dyDescent="0.25">
      <c r="F80" s="42"/>
      <c r="G80" s="43"/>
    </row>
    <row r="81" spans="6:7" ht="15.75" customHeight="1" x14ac:dyDescent="0.25">
      <c r="F81" s="42"/>
      <c r="G81" s="43"/>
    </row>
    <row r="82" spans="6:7" ht="15.75" customHeight="1" x14ac:dyDescent="0.25">
      <c r="F82" s="42"/>
      <c r="G82" s="43"/>
    </row>
    <row r="83" spans="6:7" ht="15.75" customHeight="1" x14ac:dyDescent="0.25">
      <c r="F83" s="42"/>
      <c r="G83" s="43"/>
    </row>
    <row r="84" spans="6:7" ht="15.75" customHeight="1" x14ac:dyDescent="0.25">
      <c r="F84" s="42"/>
      <c r="G84" s="43"/>
    </row>
    <row r="85" spans="6:7" ht="15.75" customHeight="1" x14ac:dyDescent="0.25">
      <c r="F85" s="42"/>
      <c r="G85" s="43"/>
    </row>
    <row r="86" spans="6:7" ht="15.75" customHeight="1" x14ac:dyDescent="0.25">
      <c r="F86" s="42"/>
      <c r="G86" s="43"/>
    </row>
    <row r="87" spans="6:7" ht="15.75" customHeight="1" x14ac:dyDescent="0.25">
      <c r="F87" s="42"/>
      <c r="G87" s="43"/>
    </row>
    <row r="88" spans="6:7" ht="15.75" customHeight="1" x14ac:dyDescent="0.25">
      <c r="F88" s="42"/>
      <c r="G88" s="43"/>
    </row>
    <row r="89" spans="6:7" ht="15.75" customHeight="1" x14ac:dyDescent="0.25">
      <c r="F89" s="42"/>
      <c r="G89" s="43"/>
    </row>
    <row r="90" spans="6:7" ht="15.75" customHeight="1" x14ac:dyDescent="0.25">
      <c r="F90" s="42"/>
      <c r="G90" s="43"/>
    </row>
    <row r="91" spans="6:7" ht="15.75" customHeight="1" x14ac:dyDescent="0.25">
      <c r="F91" s="42"/>
      <c r="G91" s="43"/>
    </row>
    <row r="92" spans="6:7" ht="15.75" customHeight="1" x14ac:dyDescent="0.25">
      <c r="F92" s="42"/>
      <c r="G92" s="43"/>
    </row>
    <row r="93" spans="6:7" ht="15.75" customHeight="1" x14ac:dyDescent="0.25">
      <c r="F93" s="42"/>
      <c r="G93" s="43"/>
    </row>
    <row r="94" spans="6:7" ht="15.75" customHeight="1" x14ac:dyDescent="0.25">
      <c r="F94" s="42"/>
      <c r="G94" s="43"/>
    </row>
    <row r="95" spans="6:7" ht="15.75" customHeight="1" x14ac:dyDescent="0.25">
      <c r="F95" s="42"/>
      <c r="G95" s="43"/>
    </row>
    <row r="96" spans="6:7" ht="15.75" customHeight="1" x14ac:dyDescent="0.25">
      <c r="F96" s="42"/>
      <c r="G96" s="43"/>
    </row>
    <row r="97" spans="6:7" ht="15.75" customHeight="1" x14ac:dyDescent="0.25">
      <c r="F97" s="42"/>
      <c r="G97" s="43"/>
    </row>
    <row r="98" spans="6:7" ht="15.75" customHeight="1" x14ac:dyDescent="0.25">
      <c r="F98" s="42"/>
      <c r="G98" s="43"/>
    </row>
    <row r="99" spans="6:7" ht="15.75" customHeight="1" x14ac:dyDescent="0.25">
      <c r="F99" s="42"/>
      <c r="G99" s="43"/>
    </row>
    <row r="100" spans="6:7" ht="15.75" customHeight="1" x14ac:dyDescent="0.25">
      <c r="F100" s="42"/>
      <c r="G100" s="43"/>
    </row>
    <row r="101" spans="6:7" ht="15.75" customHeight="1" x14ac:dyDescent="0.25">
      <c r="F101" s="42"/>
      <c r="G101" s="43"/>
    </row>
    <row r="102" spans="6:7" ht="15.75" customHeight="1" x14ac:dyDescent="0.25">
      <c r="F102" s="42"/>
      <c r="G102" s="43"/>
    </row>
    <row r="103" spans="6:7" ht="15.75" customHeight="1" x14ac:dyDescent="0.25">
      <c r="F103" s="42"/>
      <c r="G103" s="43"/>
    </row>
    <row r="104" spans="6:7" ht="15.75" customHeight="1" x14ac:dyDescent="0.25">
      <c r="F104" s="42"/>
      <c r="G104" s="43"/>
    </row>
    <row r="105" spans="6:7" ht="15.75" customHeight="1" x14ac:dyDescent="0.25">
      <c r="F105" s="42"/>
      <c r="G105" s="43"/>
    </row>
    <row r="106" spans="6:7" ht="15.75" customHeight="1" x14ac:dyDescent="0.25">
      <c r="F106" s="42"/>
      <c r="G106" s="43"/>
    </row>
    <row r="107" spans="6:7" ht="15.75" customHeight="1" x14ac:dyDescent="0.25">
      <c r="F107" s="42"/>
      <c r="G107" s="43"/>
    </row>
    <row r="108" spans="6:7" ht="15.75" customHeight="1" x14ac:dyDescent="0.25">
      <c r="F108" s="42"/>
      <c r="G108" s="43"/>
    </row>
    <row r="109" spans="6:7" ht="15.75" customHeight="1" x14ac:dyDescent="0.25">
      <c r="F109" s="42"/>
      <c r="G109" s="43"/>
    </row>
    <row r="110" spans="6:7" ht="15.75" customHeight="1" x14ac:dyDescent="0.25">
      <c r="F110" s="42"/>
      <c r="G110" s="43"/>
    </row>
    <row r="111" spans="6:7" ht="15.75" customHeight="1" x14ac:dyDescent="0.25">
      <c r="F111" s="42"/>
      <c r="G111" s="43"/>
    </row>
    <row r="112" spans="6:7" ht="15.75" customHeight="1" x14ac:dyDescent="0.25">
      <c r="F112" s="42"/>
      <c r="G112" s="43"/>
    </row>
    <row r="113" spans="6:7" ht="15.75" customHeight="1" x14ac:dyDescent="0.25">
      <c r="F113" s="42"/>
      <c r="G113" s="43"/>
    </row>
    <row r="114" spans="6:7" ht="15.75" customHeight="1" x14ac:dyDescent="0.25">
      <c r="F114" s="42"/>
      <c r="G114" s="43"/>
    </row>
    <row r="115" spans="6:7" ht="15.75" customHeight="1" x14ac:dyDescent="0.25">
      <c r="F115" s="42"/>
      <c r="G115" s="43"/>
    </row>
    <row r="116" spans="6:7" ht="15.75" customHeight="1" x14ac:dyDescent="0.25">
      <c r="F116" s="42"/>
      <c r="G116" s="43"/>
    </row>
    <row r="117" spans="6:7" ht="15.75" customHeight="1" x14ac:dyDescent="0.25">
      <c r="F117" s="42"/>
      <c r="G117" s="43"/>
    </row>
    <row r="118" spans="6:7" ht="15.75" customHeight="1" x14ac:dyDescent="0.25">
      <c r="F118" s="42"/>
      <c r="G118" s="43"/>
    </row>
    <row r="119" spans="6:7" ht="15.75" customHeight="1" x14ac:dyDescent="0.25">
      <c r="F119" s="42"/>
      <c r="G119" s="43"/>
    </row>
    <row r="120" spans="6:7" ht="15.75" customHeight="1" x14ac:dyDescent="0.25">
      <c r="F120" s="42"/>
      <c r="G120" s="43"/>
    </row>
    <row r="121" spans="6:7" ht="15.75" customHeight="1" x14ac:dyDescent="0.25">
      <c r="F121" s="42"/>
      <c r="G121" s="43"/>
    </row>
    <row r="122" spans="6:7" ht="15.75" customHeight="1" x14ac:dyDescent="0.25">
      <c r="F122" s="42"/>
      <c r="G122" s="43"/>
    </row>
    <row r="123" spans="6:7" ht="15.75" customHeight="1" x14ac:dyDescent="0.25">
      <c r="F123" s="42"/>
      <c r="G123" s="43"/>
    </row>
    <row r="124" spans="6:7" ht="15.75" customHeight="1" x14ac:dyDescent="0.25">
      <c r="F124" s="42"/>
      <c r="G124" s="43"/>
    </row>
    <row r="125" spans="6:7" ht="15.75" customHeight="1" x14ac:dyDescent="0.25">
      <c r="F125" s="42"/>
      <c r="G125" s="43"/>
    </row>
    <row r="126" spans="6:7" ht="15.75" customHeight="1" x14ac:dyDescent="0.25">
      <c r="F126" s="42"/>
      <c r="G126" s="43"/>
    </row>
    <row r="127" spans="6:7" ht="15.75" customHeight="1" x14ac:dyDescent="0.25">
      <c r="F127" s="42"/>
      <c r="G127" s="43"/>
    </row>
    <row r="128" spans="6:7" ht="15.75" customHeight="1" x14ac:dyDescent="0.25">
      <c r="F128" s="42"/>
      <c r="G128" s="43"/>
    </row>
    <row r="129" spans="6:7" ht="15.75" customHeight="1" x14ac:dyDescent="0.25">
      <c r="F129" s="42"/>
      <c r="G129" s="43"/>
    </row>
    <row r="130" spans="6:7" ht="15.75" customHeight="1" x14ac:dyDescent="0.25">
      <c r="F130" s="42"/>
      <c r="G130" s="43"/>
    </row>
    <row r="131" spans="6:7" ht="15.75" customHeight="1" x14ac:dyDescent="0.25">
      <c r="F131" s="42"/>
      <c r="G131" s="43"/>
    </row>
    <row r="132" spans="6:7" ht="15.75" customHeight="1" x14ac:dyDescent="0.25">
      <c r="F132" s="42"/>
      <c r="G132" s="43"/>
    </row>
    <row r="133" spans="6:7" ht="15.75" customHeight="1" x14ac:dyDescent="0.25">
      <c r="F133" s="42"/>
      <c r="G133" s="43"/>
    </row>
    <row r="134" spans="6:7" ht="15.75" customHeight="1" x14ac:dyDescent="0.25">
      <c r="F134" s="42"/>
      <c r="G134" s="43"/>
    </row>
    <row r="135" spans="6:7" ht="15.75" customHeight="1" x14ac:dyDescent="0.25">
      <c r="F135" s="42"/>
      <c r="G135" s="43"/>
    </row>
    <row r="136" spans="6:7" ht="15.75" customHeight="1" x14ac:dyDescent="0.25">
      <c r="F136" s="42"/>
      <c r="G136" s="43"/>
    </row>
    <row r="137" spans="6:7" ht="15.75" customHeight="1" x14ac:dyDescent="0.25">
      <c r="F137" s="42"/>
      <c r="G137" s="43"/>
    </row>
    <row r="138" spans="6:7" ht="15.75" customHeight="1" x14ac:dyDescent="0.25">
      <c r="F138" s="42"/>
      <c r="G138" s="43"/>
    </row>
    <row r="139" spans="6:7" ht="15.75" customHeight="1" x14ac:dyDescent="0.25">
      <c r="F139" s="42"/>
      <c r="G139" s="43"/>
    </row>
    <row r="140" spans="6:7" ht="15.75" customHeight="1" x14ac:dyDescent="0.25">
      <c r="F140" s="42"/>
      <c r="G140" s="43"/>
    </row>
    <row r="141" spans="6:7" ht="15.75" customHeight="1" x14ac:dyDescent="0.25">
      <c r="F141" s="42"/>
      <c r="G141" s="43"/>
    </row>
    <row r="142" spans="6:7" ht="15.75" customHeight="1" x14ac:dyDescent="0.25">
      <c r="F142" s="42"/>
      <c r="G142" s="43"/>
    </row>
    <row r="143" spans="6:7" ht="15.75" customHeight="1" x14ac:dyDescent="0.25">
      <c r="F143" s="42"/>
      <c r="G143" s="43"/>
    </row>
    <row r="144" spans="6:7" ht="15.75" customHeight="1" x14ac:dyDescent="0.25">
      <c r="F144" s="42"/>
      <c r="G144" s="43"/>
    </row>
    <row r="145" spans="6:7" ht="15.75" customHeight="1" x14ac:dyDescent="0.25">
      <c r="F145" s="42"/>
      <c r="G145" s="43"/>
    </row>
    <row r="146" spans="6:7" ht="15.75" customHeight="1" x14ac:dyDescent="0.25">
      <c r="F146" s="42"/>
      <c r="G146" s="43"/>
    </row>
    <row r="147" spans="6:7" ht="15.75" customHeight="1" x14ac:dyDescent="0.25">
      <c r="F147" s="42"/>
      <c r="G147" s="43"/>
    </row>
    <row r="148" spans="6:7" ht="15.75" customHeight="1" x14ac:dyDescent="0.25">
      <c r="F148" s="42"/>
      <c r="G148" s="43"/>
    </row>
    <row r="149" spans="6:7" ht="15.75" customHeight="1" x14ac:dyDescent="0.25">
      <c r="F149" s="42"/>
      <c r="G149" s="43"/>
    </row>
    <row r="150" spans="6:7" ht="15.75" customHeight="1" x14ac:dyDescent="0.25">
      <c r="F150" s="42"/>
      <c r="G150" s="43"/>
    </row>
    <row r="151" spans="6:7" ht="15.75" customHeight="1" x14ac:dyDescent="0.25">
      <c r="F151" s="42"/>
      <c r="G151" s="43"/>
    </row>
    <row r="152" spans="6:7" ht="15.75" customHeight="1" x14ac:dyDescent="0.25">
      <c r="F152" s="42"/>
      <c r="G152" s="43"/>
    </row>
    <row r="153" spans="6:7" ht="15.75" customHeight="1" x14ac:dyDescent="0.25">
      <c r="F153" s="42"/>
      <c r="G153" s="43"/>
    </row>
    <row r="154" spans="6:7" ht="15.75" customHeight="1" x14ac:dyDescent="0.25">
      <c r="F154" s="42"/>
      <c r="G154" s="43"/>
    </row>
    <row r="155" spans="6:7" ht="15.75" customHeight="1" x14ac:dyDescent="0.25">
      <c r="F155" s="42"/>
      <c r="G155" s="43"/>
    </row>
    <row r="156" spans="6:7" ht="15.75" customHeight="1" x14ac:dyDescent="0.25">
      <c r="F156" s="42"/>
      <c r="G156" s="43"/>
    </row>
    <row r="157" spans="6:7" ht="15.75" customHeight="1" x14ac:dyDescent="0.25">
      <c r="F157" s="42"/>
      <c r="G157" s="43"/>
    </row>
    <row r="158" spans="6:7" ht="15.75" customHeight="1" x14ac:dyDescent="0.25">
      <c r="F158" s="42"/>
      <c r="G158" s="43"/>
    </row>
    <row r="159" spans="6:7" ht="15.75" customHeight="1" x14ac:dyDescent="0.25">
      <c r="F159" s="42"/>
      <c r="G159" s="43"/>
    </row>
    <row r="160" spans="6:7" ht="15.75" customHeight="1" x14ac:dyDescent="0.25">
      <c r="F160" s="42"/>
      <c r="G160" s="43"/>
    </row>
    <row r="161" spans="6:7" ht="15.75" customHeight="1" x14ac:dyDescent="0.25">
      <c r="F161" s="42"/>
      <c r="G161" s="43"/>
    </row>
    <row r="162" spans="6:7" ht="15.75" customHeight="1" x14ac:dyDescent="0.25">
      <c r="F162" s="42"/>
      <c r="G162" s="43"/>
    </row>
    <row r="163" spans="6:7" ht="15.75" customHeight="1" x14ac:dyDescent="0.25">
      <c r="F163" s="42"/>
      <c r="G163" s="43"/>
    </row>
    <row r="164" spans="6:7" ht="15.75" customHeight="1" x14ac:dyDescent="0.25">
      <c r="F164" s="42"/>
      <c r="G164" s="43"/>
    </row>
    <row r="165" spans="6:7" ht="15.75" customHeight="1" x14ac:dyDescent="0.25">
      <c r="F165" s="42"/>
      <c r="G165" s="43"/>
    </row>
    <row r="166" spans="6:7" ht="15.75" customHeight="1" x14ac:dyDescent="0.25">
      <c r="F166" s="42"/>
      <c r="G166" s="43"/>
    </row>
    <row r="167" spans="6:7" ht="15.75" customHeight="1" x14ac:dyDescent="0.25">
      <c r="F167" s="42"/>
      <c r="G167" s="43"/>
    </row>
    <row r="168" spans="6:7" ht="15.75" customHeight="1" x14ac:dyDescent="0.25">
      <c r="F168" s="42"/>
      <c r="G168" s="43"/>
    </row>
    <row r="169" spans="6:7" ht="15.75" customHeight="1" x14ac:dyDescent="0.25">
      <c r="F169" s="42"/>
      <c r="G169" s="43"/>
    </row>
    <row r="170" spans="6:7" ht="15.75" customHeight="1" x14ac:dyDescent="0.25">
      <c r="F170" s="42"/>
      <c r="G170" s="43"/>
    </row>
    <row r="171" spans="6:7" ht="15.75" customHeight="1" x14ac:dyDescent="0.25">
      <c r="F171" s="42"/>
      <c r="G171" s="43"/>
    </row>
    <row r="172" spans="6:7" ht="15.75" customHeight="1" x14ac:dyDescent="0.25">
      <c r="F172" s="42"/>
      <c r="G172" s="43"/>
    </row>
    <row r="173" spans="6:7" ht="15.75" customHeight="1" x14ac:dyDescent="0.25">
      <c r="F173" s="42"/>
      <c r="G173" s="43"/>
    </row>
    <row r="174" spans="6:7" ht="15.75" customHeight="1" x14ac:dyDescent="0.25">
      <c r="F174" s="42"/>
      <c r="G174" s="43"/>
    </row>
    <row r="175" spans="6:7" ht="15.75" customHeight="1" x14ac:dyDescent="0.25">
      <c r="F175" s="42"/>
      <c r="G175" s="43"/>
    </row>
    <row r="176" spans="6:7" ht="15.75" customHeight="1" x14ac:dyDescent="0.25">
      <c r="F176" s="42"/>
      <c r="G176" s="43"/>
    </row>
    <row r="177" spans="6:7" ht="15.75" customHeight="1" x14ac:dyDescent="0.25">
      <c r="F177" s="42"/>
      <c r="G177" s="43"/>
    </row>
    <row r="178" spans="6:7" ht="15.75" customHeight="1" x14ac:dyDescent="0.25">
      <c r="F178" s="42"/>
      <c r="G178" s="43"/>
    </row>
    <row r="179" spans="6:7" ht="15.75" customHeight="1" x14ac:dyDescent="0.25">
      <c r="F179" s="42"/>
      <c r="G179" s="43"/>
    </row>
    <row r="180" spans="6:7" ht="15.75" customHeight="1" x14ac:dyDescent="0.25">
      <c r="F180" s="42"/>
      <c r="G180" s="43"/>
    </row>
    <row r="181" spans="6:7" ht="15.75" customHeight="1" x14ac:dyDescent="0.25">
      <c r="F181" s="42"/>
      <c r="G181" s="43"/>
    </row>
    <row r="182" spans="6:7" ht="15.75" customHeight="1" x14ac:dyDescent="0.25">
      <c r="F182" s="42"/>
      <c r="G182" s="43"/>
    </row>
    <row r="183" spans="6:7" ht="15.75" customHeight="1" x14ac:dyDescent="0.25">
      <c r="F183" s="42"/>
      <c r="G183" s="43"/>
    </row>
    <row r="184" spans="6:7" ht="15.75" customHeight="1" x14ac:dyDescent="0.25">
      <c r="F184" s="42"/>
      <c r="G184" s="43"/>
    </row>
    <row r="185" spans="6:7" ht="15.75" customHeight="1" x14ac:dyDescent="0.25">
      <c r="F185" s="42"/>
      <c r="G185" s="43"/>
    </row>
    <row r="186" spans="6:7" ht="15.75" customHeight="1" x14ac:dyDescent="0.25">
      <c r="F186" s="42"/>
      <c r="G186" s="43"/>
    </row>
    <row r="187" spans="6:7" ht="15.75" customHeight="1" x14ac:dyDescent="0.25">
      <c r="F187" s="42"/>
      <c r="G187" s="43"/>
    </row>
    <row r="188" spans="6:7" ht="15.75" customHeight="1" x14ac:dyDescent="0.25">
      <c r="F188" s="42"/>
      <c r="G188" s="43"/>
    </row>
    <row r="189" spans="6:7" ht="15.75" customHeight="1" x14ac:dyDescent="0.25">
      <c r="F189" s="42"/>
      <c r="G189" s="43"/>
    </row>
    <row r="190" spans="6:7" ht="15.75" customHeight="1" x14ac:dyDescent="0.25">
      <c r="F190" s="42"/>
      <c r="G190" s="43"/>
    </row>
    <row r="191" spans="6:7" ht="15.75" customHeight="1" x14ac:dyDescent="0.25">
      <c r="F191" s="42"/>
      <c r="G191" s="43"/>
    </row>
    <row r="192" spans="6:7" ht="15.75" customHeight="1" x14ac:dyDescent="0.25">
      <c r="F192" s="42"/>
      <c r="G192" s="43"/>
    </row>
    <row r="193" spans="6:7" ht="15.75" customHeight="1" x14ac:dyDescent="0.25">
      <c r="F193" s="42"/>
      <c r="G193" s="43"/>
    </row>
    <row r="194" spans="6:7" ht="15.75" customHeight="1" x14ac:dyDescent="0.25">
      <c r="F194" s="42"/>
      <c r="G194" s="43"/>
    </row>
    <row r="195" spans="6:7" ht="15.75" customHeight="1" x14ac:dyDescent="0.25">
      <c r="F195" s="42"/>
      <c r="G195" s="43"/>
    </row>
    <row r="196" spans="6:7" ht="15.75" customHeight="1" x14ac:dyDescent="0.25">
      <c r="F196" s="42"/>
      <c r="G196" s="43"/>
    </row>
    <row r="197" spans="6:7" ht="15.75" customHeight="1" x14ac:dyDescent="0.25">
      <c r="F197" s="42"/>
      <c r="G197" s="43"/>
    </row>
    <row r="198" spans="6:7" ht="15.75" customHeight="1" x14ac:dyDescent="0.25">
      <c r="F198" s="42"/>
      <c r="G198" s="43"/>
    </row>
    <row r="199" spans="6:7" ht="15.75" customHeight="1" x14ac:dyDescent="0.25">
      <c r="F199" s="42"/>
      <c r="G199" s="43"/>
    </row>
    <row r="200" spans="6:7" ht="15.75" customHeight="1" x14ac:dyDescent="0.25">
      <c r="F200" s="42"/>
      <c r="G200" s="43"/>
    </row>
    <row r="201" spans="6:7" ht="15.75" customHeight="1" x14ac:dyDescent="0.25">
      <c r="F201" s="42"/>
      <c r="G201" s="43"/>
    </row>
    <row r="202" spans="6:7" ht="15.75" customHeight="1" x14ac:dyDescent="0.25">
      <c r="F202" s="42"/>
      <c r="G202" s="43"/>
    </row>
    <row r="203" spans="6:7" ht="15.75" customHeight="1" x14ac:dyDescent="0.25">
      <c r="F203" s="42"/>
      <c r="G203" s="43"/>
    </row>
    <row r="204" spans="6:7" ht="15.75" customHeight="1" x14ac:dyDescent="0.25">
      <c r="F204" s="42"/>
      <c r="G204" s="43"/>
    </row>
    <row r="205" spans="6:7" ht="15.75" customHeight="1" x14ac:dyDescent="0.25">
      <c r="F205" s="42"/>
      <c r="G205" s="43"/>
    </row>
    <row r="206" spans="6:7" ht="15.75" customHeight="1" x14ac:dyDescent="0.25">
      <c r="F206" s="42"/>
      <c r="G206" s="43"/>
    </row>
    <row r="207" spans="6:7" ht="15.75" customHeight="1" x14ac:dyDescent="0.25">
      <c r="F207" s="42"/>
      <c r="G207" s="43"/>
    </row>
    <row r="208" spans="6:7" ht="15.75" customHeight="1" x14ac:dyDescent="0.25">
      <c r="F208" s="42"/>
      <c r="G208" s="43"/>
    </row>
    <row r="209" spans="6:7" ht="15.75" customHeight="1" x14ac:dyDescent="0.25">
      <c r="F209" s="42"/>
      <c r="G209" s="43"/>
    </row>
    <row r="210" spans="6:7" ht="15.75" customHeight="1" x14ac:dyDescent="0.25">
      <c r="F210" s="42"/>
      <c r="G210" s="43"/>
    </row>
    <row r="211" spans="6:7" ht="15.75" customHeight="1" x14ac:dyDescent="0.25">
      <c r="F211" s="42"/>
      <c r="G211" s="43"/>
    </row>
    <row r="212" spans="6:7" ht="15.75" customHeight="1" x14ac:dyDescent="0.25">
      <c r="F212" s="42"/>
      <c r="G212" s="43"/>
    </row>
    <row r="213" spans="6:7" ht="15.75" customHeight="1" x14ac:dyDescent="0.25">
      <c r="F213" s="42"/>
      <c r="G213" s="43"/>
    </row>
    <row r="214" spans="6:7" ht="15.75" customHeight="1" x14ac:dyDescent="0.25">
      <c r="F214" s="42"/>
      <c r="G214" s="43"/>
    </row>
    <row r="215" spans="6:7" ht="15.75" customHeight="1" x14ac:dyDescent="0.25">
      <c r="F215" s="42"/>
      <c r="G215" s="43"/>
    </row>
    <row r="216" spans="6:7" ht="15.75" customHeight="1" x14ac:dyDescent="0.25">
      <c r="F216" s="42"/>
      <c r="G216" s="43"/>
    </row>
    <row r="217" spans="6:7" ht="15.75" customHeight="1" x14ac:dyDescent="0.25">
      <c r="F217" s="42"/>
      <c r="G217" s="43"/>
    </row>
    <row r="218" spans="6:7" ht="15.75" customHeight="1" x14ac:dyDescent="0.25">
      <c r="F218" s="42"/>
      <c r="G218" s="43"/>
    </row>
    <row r="219" spans="6:7" ht="15.75" customHeight="1" x14ac:dyDescent="0.25">
      <c r="F219" s="42"/>
      <c r="G219" s="43"/>
    </row>
    <row r="220" spans="6:7" ht="15.75" customHeight="1" x14ac:dyDescent="0.25">
      <c r="F220" s="42"/>
      <c r="G220" s="43"/>
    </row>
    <row r="221" spans="6:7" ht="15.75" customHeight="1" x14ac:dyDescent="0.25">
      <c r="F221" s="42"/>
      <c r="G221" s="43"/>
    </row>
    <row r="222" spans="6:7" ht="15.75" customHeight="1" x14ac:dyDescent="0.25">
      <c r="F222" s="42"/>
      <c r="G222" s="43"/>
    </row>
    <row r="223" spans="6:7" ht="15.75" customHeight="1" x14ac:dyDescent="0.25">
      <c r="F223" s="42"/>
      <c r="G223" s="43"/>
    </row>
    <row r="224" spans="6:7" ht="15.75" customHeight="1" x14ac:dyDescent="0.25">
      <c r="F224" s="42"/>
      <c r="G224" s="43"/>
    </row>
    <row r="225" spans="6:7" ht="15.75" customHeight="1" x14ac:dyDescent="0.25">
      <c r="F225" s="42"/>
      <c r="G225" s="43"/>
    </row>
    <row r="226" spans="6:7" ht="15.75" customHeight="1" x14ac:dyDescent="0.25">
      <c r="F226" s="42"/>
      <c r="G226" s="43"/>
    </row>
    <row r="227" spans="6:7" ht="15.75" customHeight="1" x14ac:dyDescent="0.25">
      <c r="F227" s="42"/>
      <c r="G227" s="43"/>
    </row>
    <row r="228" spans="6:7" ht="15.75" customHeight="1" x14ac:dyDescent="0.25">
      <c r="F228" s="42"/>
      <c r="G228" s="43"/>
    </row>
    <row r="229" spans="6:7" ht="15.75" customHeight="1" x14ac:dyDescent="0.25">
      <c r="F229" s="42"/>
      <c r="G229" s="43"/>
    </row>
    <row r="230" spans="6:7" ht="15.75" customHeight="1" x14ac:dyDescent="0.25">
      <c r="F230" s="42"/>
      <c r="G230" s="43"/>
    </row>
    <row r="231" spans="6:7" ht="15.75" customHeight="1" x14ac:dyDescent="0.25">
      <c r="F231" s="42"/>
      <c r="G231" s="43"/>
    </row>
    <row r="232" spans="6:7" ht="15.75" customHeight="1" x14ac:dyDescent="0.25">
      <c r="F232" s="42"/>
      <c r="G232" s="43"/>
    </row>
    <row r="233" spans="6:7" ht="15.75" customHeight="1" x14ac:dyDescent="0.25">
      <c r="F233" s="42"/>
      <c r="G233" s="43"/>
    </row>
    <row r="234" spans="6:7" ht="15.75" customHeight="1" x14ac:dyDescent="0.25">
      <c r="F234" s="42"/>
      <c r="G234" s="43"/>
    </row>
    <row r="235" spans="6:7" ht="15.75" customHeight="1" x14ac:dyDescent="0.25">
      <c r="F235" s="42"/>
      <c r="G235" s="43"/>
    </row>
    <row r="236" spans="6:7" ht="15.75" customHeight="1" x14ac:dyDescent="0.25">
      <c r="F236" s="42"/>
      <c r="G236" s="43"/>
    </row>
    <row r="237" spans="6:7" ht="15.75" customHeight="1" x14ac:dyDescent="0.25">
      <c r="F237" s="42"/>
      <c r="G237" s="43"/>
    </row>
    <row r="238" spans="6:7" ht="15.75" customHeight="1" x14ac:dyDescent="0.25">
      <c r="F238" s="42"/>
      <c r="G238" s="43"/>
    </row>
    <row r="239" spans="6:7" ht="15.75" customHeight="1" x14ac:dyDescent="0.25">
      <c r="F239" s="42"/>
      <c r="G239" s="43"/>
    </row>
    <row r="240" spans="6:7" ht="15.75" customHeight="1" x14ac:dyDescent="0.25">
      <c r="F240" s="42"/>
      <c r="G240" s="43"/>
    </row>
    <row r="241" spans="6:7" ht="15.75" customHeight="1" x14ac:dyDescent="0.25">
      <c r="F241" s="42"/>
      <c r="G241" s="43"/>
    </row>
    <row r="242" spans="6:7" ht="15.75" customHeight="1" x14ac:dyDescent="0.25">
      <c r="F242" s="42"/>
      <c r="G242" s="43"/>
    </row>
    <row r="243" spans="6:7" ht="15.75" customHeight="1" x14ac:dyDescent="0.25">
      <c r="F243" s="42"/>
      <c r="G243" s="43"/>
    </row>
    <row r="244" spans="6:7" ht="15.75" customHeight="1" x14ac:dyDescent="0.25">
      <c r="F244" s="42"/>
      <c r="G244" s="43"/>
    </row>
    <row r="245" spans="6:7" ht="15.75" customHeight="1" x14ac:dyDescent="0.25">
      <c r="F245" s="42"/>
      <c r="G245" s="43"/>
    </row>
    <row r="246" spans="6:7" ht="15.75" customHeight="1" x14ac:dyDescent="0.25">
      <c r="F246" s="42"/>
      <c r="G246" s="43"/>
    </row>
    <row r="247" spans="6:7" ht="15.75" customHeight="1" x14ac:dyDescent="0.25">
      <c r="F247" s="42"/>
      <c r="G247" s="43"/>
    </row>
    <row r="248" spans="6:7" ht="15.75" customHeight="1" x14ac:dyDescent="0.25">
      <c r="F248" s="42"/>
      <c r="G248" s="43"/>
    </row>
    <row r="249" spans="6:7" ht="15.75" customHeight="1" x14ac:dyDescent="0.25">
      <c r="F249" s="42"/>
      <c r="G249" s="43"/>
    </row>
    <row r="250" spans="6:7" ht="15.75" customHeight="1" x14ac:dyDescent="0.25">
      <c r="F250" s="42"/>
      <c r="G250" s="43"/>
    </row>
    <row r="251" spans="6:7" ht="15.75" customHeight="1" x14ac:dyDescent="0.25">
      <c r="F251" s="42"/>
      <c r="G251" s="43"/>
    </row>
    <row r="252" spans="6:7" ht="15.75" customHeight="1" x14ac:dyDescent="0.25">
      <c r="F252" s="42"/>
      <c r="G252" s="43"/>
    </row>
    <row r="253" spans="6:7" ht="15.75" customHeight="1" x14ac:dyDescent="0.25">
      <c r="F253" s="42"/>
      <c r="G253" s="43"/>
    </row>
    <row r="254" spans="6:7" ht="15.75" customHeight="1" x14ac:dyDescent="0.25">
      <c r="F254" s="42"/>
      <c r="G254" s="43"/>
    </row>
    <row r="255" spans="6:7" ht="15.75" customHeight="1" x14ac:dyDescent="0.25">
      <c r="F255" s="42"/>
      <c r="G255" s="43"/>
    </row>
    <row r="256" spans="6:7" ht="15.75" customHeight="1" x14ac:dyDescent="0.25">
      <c r="F256" s="42"/>
      <c r="G256" s="43"/>
    </row>
    <row r="257" spans="6:7" ht="15.75" customHeight="1" x14ac:dyDescent="0.25">
      <c r="F257" s="42"/>
      <c r="G257" s="43"/>
    </row>
    <row r="258" spans="6:7" ht="15.75" customHeight="1" x14ac:dyDescent="0.25">
      <c r="F258" s="42"/>
      <c r="G258" s="43"/>
    </row>
    <row r="259" spans="6:7" ht="15.75" customHeight="1" x14ac:dyDescent="0.25">
      <c r="F259" s="42"/>
      <c r="G259" s="43"/>
    </row>
    <row r="260" spans="6:7" ht="15.75" customHeight="1" x14ac:dyDescent="0.25">
      <c r="F260" s="42"/>
      <c r="G260" s="43"/>
    </row>
    <row r="261" spans="6:7" ht="15.75" customHeight="1" x14ac:dyDescent="0.25">
      <c r="F261" s="42"/>
      <c r="G261" s="43"/>
    </row>
    <row r="262" spans="6:7" ht="15.75" customHeight="1" x14ac:dyDescent="0.25">
      <c r="F262" s="42"/>
      <c r="G262" s="43"/>
    </row>
    <row r="263" spans="6:7" ht="15.75" customHeight="1" x14ac:dyDescent="0.25">
      <c r="F263" s="42"/>
      <c r="G263" s="43"/>
    </row>
    <row r="264" spans="6:7" ht="15.75" customHeight="1" x14ac:dyDescent="0.25">
      <c r="F264" s="42"/>
      <c r="G264" s="43"/>
    </row>
    <row r="265" spans="6:7" ht="15.75" customHeight="1" x14ac:dyDescent="0.25">
      <c r="F265" s="42"/>
      <c r="G265" s="43"/>
    </row>
    <row r="266" spans="6:7" ht="15.75" customHeight="1" x14ac:dyDescent="0.25">
      <c r="F266" s="42"/>
      <c r="G266" s="43"/>
    </row>
    <row r="267" spans="6:7" ht="15.75" customHeight="1" x14ac:dyDescent="0.25">
      <c r="F267" s="42"/>
      <c r="G267" s="43"/>
    </row>
    <row r="268" spans="6:7" ht="15.75" customHeight="1" x14ac:dyDescent="0.25">
      <c r="F268" s="42"/>
      <c r="G268" s="43"/>
    </row>
    <row r="269" spans="6:7" ht="15.75" customHeight="1" x14ac:dyDescent="0.25">
      <c r="F269" s="42"/>
      <c r="G269" s="43"/>
    </row>
    <row r="270" spans="6:7" ht="15.75" customHeight="1" x14ac:dyDescent="0.25">
      <c r="F270" s="42"/>
      <c r="G270" s="43"/>
    </row>
    <row r="271" spans="6:7" ht="15.75" customHeight="1" x14ac:dyDescent="0.25">
      <c r="F271" s="42"/>
      <c r="G271" s="43"/>
    </row>
    <row r="272" spans="6:7" ht="15.75" customHeight="1" x14ac:dyDescent="0.25">
      <c r="F272" s="42"/>
      <c r="G272" s="43"/>
    </row>
    <row r="273" spans="6:7" ht="15.75" customHeight="1" x14ac:dyDescent="0.25">
      <c r="F273" s="42"/>
      <c r="G273" s="43"/>
    </row>
    <row r="274" spans="6:7" ht="15.75" customHeight="1" x14ac:dyDescent="0.25">
      <c r="F274" s="42"/>
      <c r="G274" s="43"/>
    </row>
    <row r="275" spans="6:7" ht="15.75" customHeight="1" x14ac:dyDescent="0.25">
      <c r="F275" s="42"/>
      <c r="G275" s="43"/>
    </row>
    <row r="276" spans="6:7" ht="15.75" customHeight="1" x14ac:dyDescent="0.25">
      <c r="F276" s="42"/>
      <c r="G276" s="43"/>
    </row>
    <row r="277" spans="6:7" ht="15.75" customHeight="1" x14ac:dyDescent="0.25">
      <c r="F277" s="42"/>
      <c r="G277" s="43"/>
    </row>
    <row r="278" spans="6:7" ht="15.75" customHeight="1" x14ac:dyDescent="0.25">
      <c r="F278" s="42"/>
      <c r="G278" s="43"/>
    </row>
    <row r="279" spans="6:7" ht="15.75" customHeight="1" x14ac:dyDescent="0.25">
      <c r="F279" s="42"/>
      <c r="G279" s="43"/>
    </row>
    <row r="280" spans="6:7" ht="15.75" customHeight="1" x14ac:dyDescent="0.25">
      <c r="F280" s="42"/>
      <c r="G280" s="43"/>
    </row>
    <row r="281" spans="6:7" ht="15.75" customHeight="1" x14ac:dyDescent="0.25">
      <c r="F281" s="42"/>
      <c r="G281" s="43"/>
    </row>
    <row r="282" spans="6:7" ht="15.75" customHeight="1" x14ac:dyDescent="0.25">
      <c r="F282" s="42"/>
      <c r="G282" s="43"/>
    </row>
    <row r="283" spans="6:7" ht="15.75" customHeight="1" x14ac:dyDescent="0.25">
      <c r="F283" s="42"/>
      <c r="G283" s="43"/>
    </row>
    <row r="284" spans="6:7" ht="15.75" customHeight="1" x14ac:dyDescent="0.25">
      <c r="F284" s="42"/>
      <c r="G284" s="43"/>
    </row>
    <row r="285" spans="6:7" ht="15.75" customHeight="1" x14ac:dyDescent="0.25">
      <c r="F285" s="42"/>
      <c r="G285" s="43"/>
    </row>
    <row r="286" spans="6:7" ht="15.75" customHeight="1" x14ac:dyDescent="0.25">
      <c r="F286" s="42"/>
      <c r="G286" s="43"/>
    </row>
    <row r="287" spans="6:7" ht="15.75" customHeight="1" x14ac:dyDescent="0.25">
      <c r="F287" s="42"/>
      <c r="G287" s="43"/>
    </row>
    <row r="288" spans="6:7" ht="15.75" customHeight="1" x14ac:dyDescent="0.25">
      <c r="F288" s="42"/>
      <c r="G288" s="43"/>
    </row>
    <row r="289" spans="6:7" ht="15.75" customHeight="1" x14ac:dyDescent="0.25">
      <c r="F289" s="42"/>
      <c r="G289" s="43"/>
    </row>
    <row r="290" spans="6:7" ht="15.75" customHeight="1" x14ac:dyDescent="0.25">
      <c r="F290" s="42"/>
      <c r="G290" s="43"/>
    </row>
    <row r="291" spans="6:7" ht="15.75" customHeight="1" x14ac:dyDescent="0.25">
      <c r="F291" s="42"/>
      <c r="G291" s="43"/>
    </row>
    <row r="292" spans="6:7" ht="15.75" customHeight="1" x14ac:dyDescent="0.25">
      <c r="F292" s="42"/>
      <c r="G292" s="43"/>
    </row>
    <row r="293" spans="6:7" ht="15.75" customHeight="1" x14ac:dyDescent="0.25">
      <c r="F293" s="42"/>
      <c r="G293" s="43"/>
    </row>
    <row r="294" spans="6:7" ht="15.75" customHeight="1" x14ac:dyDescent="0.25">
      <c r="F294" s="42"/>
      <c r="G294" s="43"/>
    </row>
    <row r="295" spans="6:7" ht="15.75" customHeight="1" x14ac:dyDescent="0.25">
      <c r="F295" s="42"/>
      <c r="G295" s="43"/>
    </row>
    <row r="296" spans="6:7" ht="15.75" customHeight="1" x14ac:dyDescent="0.25">
      <c r="F296" s="42"/>
      <c r="G296" s="43"/>
    </row>
    <row r="297" spans="6:7" ht="15.75" customHeight="1" x14ac:dyDescent="0.25">
      <c r="F297" s="42"/>
      <c r="G297" s="43"/>
    </row>
    <row r="298" spans="6:7" ht="15.75" customHeight="1" x14ac:dyDescent="0.25">
      <c r="F298" s="42"/>
      <c r="G298" s="43"/>
    </row>
    <row r="299" spans="6:7" ht="15.75" customHeight="1" x14ac:dyDescent="0.25">
      <c r="F299" s="42"/>
      <c r="G299" s="43"/>
    </row>
    <row r="300" spans="6:7" ht="15.75" customHeight="1" x14ac:dyDescent="0.25">
      <c r="F300" s="42"/>
      <c r="G300" s="43"/>
    </row>
    <row r="301" spans="6:7" ht="15.75" customHeight="1" x14ac:dyDescent="0.25">
      <c r="F301" s="42"/>
      <c r="G301" s="43"/>
    </row>
    <row r="302" spans="6:7" ht="15.75" customHeight="1" x14ac:dyDescent="0.25">
      <c r="F302" s="42"/>
      <c r="G302" s="43"/>
    </row>
    <row r="303" spans="6:7" ht="15.75" customHeight="1" x14ac:dyDescent="0.25">
      <c r="F303" s="42"/>
      <c r="G303" s="43"/>
    </row>
    <row r="304" spans="6:7" ht="15.75" customHeight="1" x14ac:dyDescent="0.25">
      <c r="F304" s="42"/>
      <c r="G304" s="43"/>
    </row>
    <row r="305" spans="6:7" ht="15.75" customHeight="1" x14ac:dyDescent="0.25">
      <c r="F305" s="42"/>
      <c r="G305" s="43"/>
    </row>
    <row r="306" spans="6:7" ht="15.75" customHeight="1" x14ac:dyDescent="0.25">
      <c r="F306" s="42"/>
      <c r="G306" s="43"/>
    </row>
    <row r="307" spans="6:7" ht="15.75" customHeight="1" x14ac:dyDescent="0.25">
      <c r="F307" s="42"/>
      <c r="G307" s="43"/>
    </row>
    <row r="308" spans="6:7" ht="15.75" customHeight="1" x14ac:dyDescent="0.25">
      <c r="F308" s="42"/>
      <c r="G308" s="43"/>
    </row>
    <row r="309" spans="6:7" ht="15.75" customHeight="1" x14ac:dyDescent="0.25">
      <c r="F309" s="42"/>
      <c r="G309" s="43"/>
    </row>
    <row r="310" spans="6:7" ht="15.75" customHeight="1" x14ac:dyDescent="0.25">
      <c r="F310" s="42"/>
      <c r="G310" s="43"/>
    </row>
    <row r="311" spans="6:7" ht="15.75" customHeight="1" x14ac:dyDescent="0.25">
      <c r="F311" s="42"/>
      <c r="G311" s="43"/>
    </row>
    <row r="312" spans="6:7" ht="15.75" customHeight="1" x14ac:dyDescent="0.25">
      <c r="F312" s="42"/>
      <c r="G312" s="43"/>
    </row>
    <row r="313" spans="6:7" ht="15.75" customHeight="1" x14ac:dyDescent="0.25">
      <c r="F313" s="42"/>
      <c r="G313" s="43"/>
    </row>
    <row r="314" spans="6:7" ht="15.75" customHeight="1" x14ac:dyDescent="0.25">
      <c r="F314" s="42"/>
      <c r="G314" s="43"/>
    </row>
    <row r="315" spans="6:7" ht="15.75" customHeight="1" x14ac:dyDescent="0.25">
      <c r="F315" s="42"/>
      <c r="G315" s="43"/>
    </row>
    <row r="316" spans="6:7" ht="15.75" customHeight="1" x14ac:dyDescent="0.25">
      <c r="F316" s="42"/>
      <c r="G316" s="43"/>
    </row>
    <row r="317" spans="6:7" ht="15.75" customHeight="1" x14ac:dyDescent="0.25">
      <c r="F317" s="42"/>
      <c r="G317" s="43"/>
    </row>
    <row r="318" spans="6:7" ht="15.75" customHeight="1" x14ac:dyDescent="0.25">
      <c r="F318" s="42"/>
      <c r="G318" s="43"/>
    </row>
    <row r="319" spans="6:7" ht="15.75" customHeight="1" x14ac:dyDescent="0.25">
      <c r="F319" s="42"/>
      <c r="G319" s="43"/>
    </row>
    <row r="320" spans="6:7" ht="15.75" customHeight="1" x14ac:dyDescent="0.25">
      <c r="F320" s="42"/>
      <c r="G320" s="43"/>
    </row>
    <row r="321" spans="6:7" ht="15.75" customHeight="1" x14ac:dyDescent="0.25">
      <c r="F321" s="42"/>
      <c r="G321" s="43"/>
    </row>
    <row r="322" spans="6:7" ht="15.75" customHeight="1" x14ac:dyDescent="0.25">
      <c r="F322" s="42"/>
      <c r="G322" s="43"/>
    </row>
    <row r="323" spans="6:7" ht="15.75" customHeight="1" x14ac:dyDescent="0.25">
      <c r="F323" s="42"/>
      <c r="G323" s="43"/>
    </row>
    <row r="324" spans="6:7" ht="15.75" customHeight="1" x14ac:dyDescent="0.25">
      <c r="F324" s="42"/>
      <c r="G324" s="43"/>
    </row>
    <row r="325" spans="6:7" ht="15.75" customHeight="1" x14ac:dyDescent="0.25">
      <c r="F325" s="42"/>
      <c r="G325" s="43"/>
    </row>
    <row r="326" spans="6:7" ht="15.75" customHeight="1" x14ac:dyDescent="0.25">
      <c r="F326" s="42"/>
      <c r="G326" s="43"/>
    </row>
    <row r="327" spans="6:7" ht="15.75" customHeight="1" x14ac:dyDescent="0.25">
      <c r="F327" s="42"/>
      <c r="G327" s="43"/>
    </row>
    <row r="328" spans="6:7" ht="15.75" customHeight="1" x14ac:dyDescent="0.25">
      <c r="F328" s="42"/>
      <c r="G328" s="43"/>
    </row>
    <row r="329" spans="6:7" ht="15.75" customHeight="1" x14ac:dyDescent="0.25">
      <c r="F329" s="42"/>
      <c r="G329" s="43"/>
    </row>
    <row r="330" spans="6:7" ht="15.75" customHeight="1" x14ac:dyDescent="0.25">
      <c r="F330" s="42"/>
      <c r="G330" s="43"/>
    </row>
    <row r="331" spans="6:7" ht="15.75" customHeight="1" x14ac:dyDescent="0.25">
      <c r="F331" s="42"/>
      <c r="G331" s="43"/>
    </row>
    <row r="332" spans="6:7" ht="15.75" customHeight="1" x14ac:dyDescent="0.25">
      <c r="F332" s="42"/>
      <c r="G332" s="43"/>
    </row>
    <row r="333" spans="6:7" ht="15.75" customHeight="1" x14ac:dyDescent="0.25">
      <c r="F333" s="42"/>
      <c r="G333" s="43"/>
    </row>
    <row r="334" spans="6:7" ht="15.75" customHeight="1" x14ac:dyDescent="0.25">
      <c r="F334" s="42"/>
      <c r="G334" s="43"/>
    </row>
    <row r="335" spans="6:7" ht="15.75" customHeight="1" x14ac:dyDescent="0.25">
      <c r="F335" s="42"/>
      <c r="G335" s="43"/>
    </row>
    <row r="336" spans="6:7" ht="15.75" customHeight="1" x14ac:dyDescent="0.25">
      <c r="F336" s="42"/>
      <c r="G336" s="43"/>
    </row>
    <row r="337" spans="6:7" ht="15.75" customHeight="1" x14ac:dyDescent="0.25">
      <c r="F337" s="42"/>
      <c r="G337" s="43"/>
    </row>
    <row r="338" spans="6:7" ht="15.75" customHeight="1" x14ac:dyDescent="0.25">
      <c r="F338" s="42"/>
      <c r="G338" s="43"/>
    </row>
    <row r="339" spans="6:7" ht="15.75" customHeight="1" x14ac:dyDescent="0.25">
      <c r="F339" s="42"/>
      <c r="G339" s="43"/>
    </row>
    <row r="340" spans="6:7" ht="15.75" customHeight="1" x14ac:dyDescent="0.25">
      <c r="F340" s="42"/>
      <c r="G340" s="43"/>
    </row>
    <row r="341" spans="6:7" ht="15.75" customHeight="1" x14ac:dyDescent="0.25">
      <c r="F341" s="42"/>
      <c r="G341" s="43"/>
    </row>
    <row r="342" spans="6:7" ht="15.75" customHeight="1" x14ac:dyDescent="0.25">
      <c r="F342" s="42"/>
      <c r="G342" s="43"/>
    </row>
    <row r="343" spans="6:7" ht="15.75" customHeight="1" x14ac:dyDescent="0.25">
      <c r="F343" s="42"/>
      <c r="G343" s="43"/>
    </row>
    <row r="344" spans="6:7" ht="15.75" customHeight="1" x14ac:dyDescent="0.25">
      <c r="F344" s="42"/>
      <c r="G344" s="43"/>
    </row>
    <row r="345" spans="6:7" ht="15.75" customHeight="1" x14ac:dyDescent="0.25">
      <c r="F345" s="42"/>
      <c r="G345" s="43"/>
    </row>
    <row r="346" spans="6:7" ht="15.75" customHeight="1" x14ac:dyDescent="0.25">
      <c r="F346" s="42"/>
      <c r="G346" s="43"/>
    </row>
    <row r="347" spans="6:7" ht="15.75" customHeight="1" x14ac:dyDescent="0.25">
      <c r="F347" s="42"/>
      <c r="G347" s="43"/>
    </row>
    <row r="348" spans="6:7" ht="15.75" customHeight="1" x14ac:dyDescent="0.25">
      <c r="F348" s="42"/>
      <c r="G348" s="43"/>
    </row>
    <row r="349" spans="6:7" ht="15.75" customHeight="1" x14ac:dyDescent="0.25">
      <c r="F349" s="42"/>
      <c r="G349" s="43"/>
    </row>
    <row r="350" spans="6:7" ht="15.75" customHeight="1" x14ac:dyDescent="0.25">
      <c r="F350" s="42"/>
      <c r="G350" s="43"/>
    </row>
    <row r="351" spans="6:7" ht="15.75" customHeight="1" x14ac:dyDescent="0.25">
      <c r="F351" s="42"/>
      <c r="G351" s="43"/>
    </row>
    <row r="352" spans="6:7" ht="15.75" customHeight="1" x14ac:dyDescent="0.25">
      <c r="F352" s="42"/>
      <c r="G352" s="43"/>
    </row>
    <row r="353" spans="6:7" ht="15.75" customHeight="1" x14ac:dyDescent="0.25">
      <c r="F353" s="42"/>
      <c r="G353" s="43"/>
    </row>
    <row r="354" spans="6:7" ht="15.75" customHeight="1" x14ac:dyDescent="0.25">
      <c r="F354" s="42"/>
      <c r="G354" s="43"/>
    </row>
    <row r="355" spans="6:7" ht="15.75" customHeight="1" x14ac:dyDescent="0.25">
      <c r="F355" s="42"/>
      <c r="G355" s="43"/>
    </row>
    <row r="356" spans="6:7" ht="15.75" customHeight="1" x14ac:dyDescent="0.25">
      <c r="F356" s="42"/>
      <c r="G356" s="43"/>
    </row>
    <row r="357" spans="6:7" ht="15.75" customHeight="1" x14ac:dyDescent="0.25">
      <c r="F357" s="42"/>
      <c r="G357" s="43"/>
    </row>
    <row r="358" spans="6:7" ht="15.75" customHeight="1" x14ac:dyDescent="0.25">
      <c r="F358" s="42"/>
      <c r="G358" s="43"/>
    </row>
    <row r="359" spans="6:7" ht="15.75" customHeight="1" x14ac:dyDescent="0.25">
      <c r="F359" s="42"/>
      <c r="G359" s="43"/>
    </row>
    <row r="360" spans="6:7" ht="15.75" customHeight="1" x14ac:dyDescent="0.25">
      <c r="F360" s="42"/>
      <c r="G360" s="43"/>
    </row>
    <row r="361" spans="6:7" ht="15.75" customHeight="1" x14ac:dyDescent="0.25">
      <c r="F361" s="42"/>
      <c r="G361" s="43"/>
    </row>
    <row r="362" spans="6:7" ht="15.75" customHeight="1" x14ac:dyDescent="0.25">
      <c r="F362" s="42"/>
      <c r="G362" s="43"/>
    </row>
    <row r="363" spans="6:7" ht="15.75" customHeight="1" x14ac:dyDescent="0.25">
      <c r="F363" s="42"/>
      <c r="G363" s="43"/>
    </row>
    <row r="364" spans="6:7" ht="15.75" customHeight="1" x14ac:dyDescent="0.25">
      <c r="F364" s="42"/>
      <c r="G364" s="43"/>
    </row>
    <row r="365" spans="6:7" ht="15.75" customHeight="1" x14ac:dyDescent="0.25">
      <c r="F365" s="42"/>
      <c r="G365" s="43"/>
    </row>
    <row r="366" spans="6:7" ht="15.75" customHeight="1" x14ac:dyDescent="0.25">
      <c r="F366" s="42"/>
      <c r="G366" s="43"/>
    </row>
    <row r="367" spans="6:7" ht="15.75" customHeight="1" x14ac:dyDescent="0.25">
      <c r="F367" s="42"/>
      <c r="G367" s="43"/>
    </row>
    <row r="368" spans="6:7" ht="15.75" customHeight="1" x14ac:dyDescent="0.25">
      <c r="F368" s="42"/>
      <c r="G368" s="43"/>
    </row>
    <row r="369" spans="6:7" ht="15.75" customHeight="1" x14ac:dyDescent="0.25">
      <c r="F369" s="42"/>
      <c r="G369" s="43"/>
    </row>
    <row r="370" spans="6:7" ht="15.75" customHeight="1" x14ac:dyDescent="0.25">
      <c r="F370" s="42"/>
      <c r="G370" s="43"/>
    </row>
    <row r="371" spans="6:7" ht="15.75" customHeight="1" x14ac:dyDescent="0.25">
      <c r="F371" s="42"/>
      <c r="G371" s="43"/>
    </row>
    <row r="372" spans="6:7" ht="15.75" customHeight="1" x14ac:dyDescent="0.25">
      <c r="F372" s="42"/>
      <c r="G372" s="43"/>
    </row>
    <row r="373" spans="6:7" ht="15.75" customHeight="1" x14ac:dyDescent="0.25">
      <c r="F373" s="42"/>
      <c r="G373" s="43"/>
    </row>
    <row r="374" spans="6:7" ht="15.75" customHeight="1" x14ac:dyDescent="0.25">
      <c r="F374" s="42"/>
      <c r="G374" s="43"/>
    </row>
    <row r="375" spans="6:7" ht="15.75" customHeight="1" x14ac:dyDescent="0.25">
      <c r="F375" s="42"/>
      <c r="G375" s="43"/>
    </row>
    <row r="376" spans="6:7" ht="15.75" customHeight="1" x14ac:dyDescent="0.25">
      <c r="F376" s="42"/>
      <c r="G376" s="43"/>
    </row>
    <row r="377" spans="6:7" ht="15.75" customHeight="1" x14ac:dyDescent="0.25">
      <c r="F377" s="42"/>
      <c r="G377" s="43"/>
    </row>
    <row r="378" spans="6:7" ht="15.75" customHeight="1" x14ac:dyDescent="0.25">
      <c r="F378" s="42"/>
      <c r="G378" s="43"/>
    </row>
    <row r="379" spans="6:7" ht="15.75" customHeight="1" x14ac:dyDescent="0.25">
      <c r="F379" s="42"/>
      <c r="G379" s="43"/>
    </row>
    <row r="380" spans="6:7" ht="15.75" customHeight="1" x14ac:dyDescent="0.25">
      <c r="F380" s="42"/>
      <c r="G380" s="43"/>
    </row>
    <row r="381" spans="6:7" ht="15.75" customHeight="1" x14ac:dyDescent="0.25">
      <c r="F381" s="42"/>
      <c r="G381" s="43"/>
    </row>
    <row r="382" spans="6:7" ht="15.75" customHeight="1" x14ac:dyDescent="0.25">
      <c r="F382" s="42"/>
      <c r="G382" s="43"/>
    </row>
    <row r="383" spans="6:7" ht="15.75" customHeight="1" x14ac:dyDescent="0.25">
      <c r="F383" s="42"/>
      <c r="G383" s="43"/>
    </row>
    <row r="384" spans="6:7" ht="15.75" customHeight="1" x14ac:dyDescent="0.25">
      <c r="F384" s="42"/>
      <c r="G384" s="43"/>
    </row>
    <row r="385" spans="6:7" ht="15.75" customHeight="1" x14ac:dyDescent="0.25">
      <c r="F385" s="42"/>
      <c r="G385" s="43"/>
    </row>
    <row r="386" spans="6:7" ht="15.75" customHeight="1" x14ac:dyDescent="0.25">
      <c r="F386" s="42"/>
      <c r="G386" s="43"/>
    </row>
    <row r="387" spans="6:7" ht="15.75" customHeight="1" x14ac:dyDescent="0.25">
      <c r="F387" s="42"/>
      <c r="G387" s="43"/>
    </row>
    <row r="388" spans="6:7" ht="15.75" customHeight="1" x14ac:dyDescent="0.25">
      <c r="F388" s="42"/>
      <c r="G388" s="43"/>
    </row>
    <row r="389" spans="6:7" ht="15.75" customHeight="1" x14ac:dyDescent="0.25">
      <c r="F389" s="42"/>
      <c r="G389" s="43"/>
    </row>
    <row r="390" spans="6:7" ht="15.75" customHeight="1" x14ac:dyDescent="0.25">
      <c r="F390" s="42"/>
      <c r="G390" s="43"/>
    </row>
    <row r="391" spans="6:7" ht="15.75" customHeight="1" x14ac:dyDescent="0.25">
      <c r="F391" s="42"/>
      <c r="G391" s="43"/>
    </row>
    <row r="392" spans="6:7" ht="15.75" customHeight="1" x14ac:dyDescent="0.25">
      <c r="F392" s="42"/>
      <c r="G392" s="43"/>
    </row>
    <row r="393" spans="6:7" ht="15.75" customHeight="1" x14ac:dyDescent="0.25">
      <c r="F393" s="42"/>
      <c r="G393" s="43"/>
    </row>
    <row r="394" spans="6:7" ht="15.75" customHeight="1" x14ac:dyDescent="0.25">
      <c r="F394" s="42"/>
      <c r="G394" s="43"/>
    </row>
    <row r="395" spans="6:7" ht="15.75" customHeight="1" x14ac:dyDescent="0.25">
      <c r="F395" s="42"/>
      <c r="G395" s="43"/>
    </row>
    <row r="396" spans="6:7" ht="15.75" customHeight="1" x14ac:dyDescent="0.25">
      <c r="F396" s="42"/>
      <c r="G396" s="43"/>
    </row>
    <row r="397" spans="6:7" ht="15.75" customHeight="1" x14ac:dyDescent="0.25">
      <c r="F397" s="42"/>
      <c r="G397" s="43"/>
    </row>
    <row r="398" spans="6:7" ht="15.75" customHeight="1" x14ac:dyDescent="0.25">
      <c r="F398" s="42"/>
      <c r="G398" s="43"/>
    </row>
    <row r="399" spans="6:7" ht="15.75" customHeight="1" x14ac:dyDescent="0.25">
      <c r="F399" s="42"/>
      <c r="G399" s="43"/>
    </row>
    <row r="400" spans="6:7" ht="15.75" customHeight="1" x14ac:dyDescent="0.25">
      <c r="F400" s="42"/>
      <c r="G400" s="43"/>
    </row>
    <row r="401" spans="6:7" ht="15.75" customHeight="1" x14ac:dyDescent="0.25">
      <c r="F401" s="42"/>
      <c r="G401" s="43"/>
    </row>
    <row r="402" spans="6:7" ht="15.75" customHeight="1" x14ac:dyDescent="0.25">
      <c r="F402" s="42"/>
      <c r="G402" s="43"/>
    </row>
    <row r="403" spans="6:7" ht="15.75" customHeight="1" x14ac:dyDescent="0.25">
      <c r="F403" s="42"/>
      <c r="G403" s="43"/>
    </row>
    <row r="404" spans="6:7" ht="15.75" customHeight="1" x14ac:dyDescent="0.25">
      <c r="F404" s="42"/>
      <c r="G404" s="43"/>
    </row>
    <row r="405" spans="6:7" ht="15.75" customHeight="1" x14ac:dyDescent="0.25">
      <c r="F405" s="42"/>
      <c r="G405" s="43"/>
    </row>
    <row r="406" spans="6:7" ht="15.75" customHeight="1" x14ac:dyDescent="0.25">
      <c r="F406" s="42"/>
      <c r="G406" s="43"/>
    </row>
    <row r="407" spans="6:7" ht="15.75" customHeight="1" x14ac:dyDescent="0.25">
      <c r="F407" s="42"/>
      <c r="G407" s="43"/>
    </row>
    <row r="408" spans="6:7" ht="15.75" customHeight="1" x14ac:dyDescent="0.25">
      <c r="F408" s="42"/>
      <c r="G408" s="43"/>
    </row>
    <row r="409" spans="6:7" ht="15.75" customHeight="1" x14ac:dyDescent="0.25">
      <c r="F409" s="42"/>
      <c r="G409" s="43"/>
    </row>
    <row r="410" spans="6:7" ht="15.75" customHeight="1" x14ac:dyDescent="0.25">
      <c r="F410" s="42"/>
      <c r="G410" s="43"/>
    </row>
    <row r="411" spans="6:7" ht="15.75" customHeight="1" x14ac:dyDescent="0.25">
      <c r="F411" s="42"/>
      <c r="G411" s="43"/>
    </row>
    <row r="412" spans="6:7" ht="15.75" customHeight="1" x14ac:dyDescent="0.25">
      <c r="F412" s="42"/>
      <c r="G412" s="43"/>
    </row>
    <row r="413" spans="6:7" ht="15.75" customHeight="1" x14ac:dyDescent="0.25">
      <c r="F413" s="42"/>
      <c r="G413" s="43"/>
    </row>
    <row r="414" spans="6:7" ht="15.75" customHeight="1" x14ac:dyDescent="0.25">
      <c r="F414" s="42"/>
      <c r="G414" s="43"/>
    </row>
    <row r="415" spans="6:7" ht="15.75" customHeight="1" x14ac:dyDescent="0.25">
      <c r="F415" s="42"/>
      <c r="G415" s="43"/>
    </row>
    <row r="416" spans="6:7" ht="15.75" customHeight="1" x14ac:dyDescent="0.25">
      <c r="F416" s="42"/>
      <c r="G416" s="43"/>
    </row>
    <row r="417" spans="6:7" ht="15.75" customHeight="1" x14ac:dyDescent="0.25">
      <c r="F417" s="42"/>
      <c r="G417" s="43"/>
    </row>
    <row r="418" spans="6:7" ht="15.75" customHeight="1" x14ac:dyDescent="0.25">
      <c r="F418" s="42"/>
      <c r="G418" s="43"/>
    </row>
    <row r="419" spans="6:7" ht="15.75" customHeight="1" x14ac:dyDescent="0.25">
      <c r="F419" s="42"/>
      <c r="G419" s="43"/>
    </row>
    <row r="420" spans="6:7" ht="15.75" customHeight="1" x14ac:dyDescent="0.25">
      <c r="F420" s="42"/>
      <c r="G420" s="43"/>
    </row>
    <row r="421" spans="6:7" ht="15.75" customHeight="1" x14ac:dyDescent="0.25">
      <c r="F421" s="42"/>
      <c r="G421" s="43"/>
    </row>
    <row r="422" spans="6:7" ht="15.75" customHeight="1" x14ac:dyDescent="0.25">
      <c r="F422" s="42"/>
      <c r="G422" s="43"/>
    </row>
    <row r="423" spans="6:7" ht="15.75" customHeight="1" x14ac:dyDescent="0.25">
      <c r="F423" s="42"/>
      <c r="G423" s="43"/>
    </row>
    <row r="424" spans="6:7" ht="15.75" customHeight="1" x14ac:dyDescent="0.25">
      <c r="F424" s="42"/>
      <c r="G424" s="43"/>
    </row>
    <row r="425" spans="6:7" ht="15.75" customHeight="1" x14ac:dyDescent="0.25">
      <c r="F425" s="42"/>
      <c r="G425" s="43"/>
    </row>
    <row r="426" spans="6:7" ht="15.75" customHeight="1" x14ac:dyDescent="0.25">
      <c r="F426" s="42"/>
      <c r="G426" s="43"/>
    </row>
    <row r="427" spans="6:7" ht="15.75" customHeight="1" x14ac:dyDescent="0.25">
      <c r="F427" s="42"/>
      <c r="G427" s="43"/>
    </row>
    <row r="428" spans="6:7" ht="15.75" customHeight="1" x14ac:dyDescent="0.25">
      <c r="F428" s="42"/>
      <c r="G428" s="43"/>
    </row>
    <row r="429" spans="6:7" ht="15.75" customHeight="1" x14ac:dyDescent="0.25">
      <c r="F429" s="42"/>
      <c r="G429" s="43"/>
    </row>
    <row r="430" spans="6:7" ht="15.75" customHeight="1" x14ac:dyDescent="0.25">
      <c r="F430" s="42"/>
      <c r="G430" s="43"/>
    </row>
    <row r="431" spans="6:7" ht="15.75" customHeight="1" x14ac:dyDescent="0.25">
      <c r="F431" s="42"/>
      <c r="G431" s="43"/>
    </row>
    <row r="432" spans="6:7" ht="15.75" customHeight="1" x14ac:dyDescent="0.25">
      <c r="F432" s="42"/>
      <c r="G432" s="43"/>
    </row>
    <row r="433" spans="6:7" ht="15.75" customHeight="1" x14ac:dyDescent="0.25">
      <c r="F433" s="42"/>
      <c r="G433" s="43"/>
    </row>
    <row r="434" spans="6:7" ht="15.75" customHeight="1" x14ac:dyDescent="0.25">
      <c r="F434" s="42"/>
      <c r="G434" s="43"/>
    </row>
    <row r="435" spans="6:7" ht="15.75" customHeight="1" x14ac:dyDescent="0.25">
      <c r="F435" s="42"/>
      <c r="G435" s="43"/>
    </row>
    <row r="436" spans="6:7" ht="15.75" customHeight="1" x14ac:dyDescent="0.25">
      <c r="F436" s="42"/>
      <c r="G436" s="43"/>
    </row>
    <row r="437" spans="6:7" ht="15.75" customHeight="1" x14ac:dyDescent="0.25">
      <c r="F437" s="42"/>
      <c r="G437" s="43"/>
    </row>
    <row r="438" spans="6:7" ht="15.75" customHeight="1" x14ac:dyDescent="0.25">
      <c r="F438" s="42"/>
      <c r="G438" s="43"/>
    </row>
    <row r="439" spans="6:7" ht="15.75" customHeight="1" x14ac:dyDescent="0.25">
      <c r="F439" s="42"/>
      <c r="G439" s="43"/>
    </row>
    <row r="440" spans="6:7" ht="15.75" customHeight="1" x14ac:dyDescent="0.25">
      <c r="F440" s="42"/>
      <c r="G440" s="43"/>
    </row>
    <row r="441" spans="6:7" ht="15.75" customHeight="1" x14ac:dyDescent="0.25">
      <c r="F441" s="42"/>
      <c r="G441" s="43"/>
    </row>
    <row r="442" spans="6:7" ht="15.75" customHeight="1" x14ac:dyDescent="0.25">
      <c r="F442" s="42"/>
      <c r="G442" s="43"/>
    </row>
    <row r="443" spans="6:7" ht="15.75" customHeight="1" x14ac:dyDescent="0.25">
      <c r="F443" s="42"/>
      <c r="G443" s="43"/>
    </row>
    <row r="444" spans="6:7" ht="15.75" customHeight="1" x14ac:dyDescent="0.25">
      <c r="F444" s="42"/>
      <c r="G444" s="43"/>
    </row>
    <row r="445" spans="6:7" ht="15.75" customHeight="1" x14ac:dyDescent="0.25">
      <c r="F445" s="42"/>
      <c r="G445" s="43"/>
    </row>
    <row r="446" spans="6:7" ht="15.75" customHeight="1" x14ac:dyDescent="0.25">
      <c r="F446" s="42"/>
      <c r="G446" s="43"/>
    </row>
    <row r="447" spans="6:7" ht="15.75" customHeight="1" x14ac:dyDescent="0.25">
      <c r="F447" s="42"/>
      <c r="G447" s="43"/>
    </row>
    <row r="448" spans="6:7" ht="15.75" customHeight="1" x14ac:dyDescent="0.25">
      <c r="F448" s="42"/>
      <c r="G448" s="43"/>
    </row>
    <row r="449" spans="6:7" ht="15.75" customHeight="1" x14ac:dyDescent="0.25">
      <c r="F449" s="42"/>
      <c r="G449" s="43"/>
    </row>
    <row r="450" spans="6:7" ht="15.75" customHeight="1" x14ac:dyDescent="0.25">
      <c r="F450" s="42"/>
      <c r="G450" s="43"/>
    </row>
    <row r="451" spans="6:7" ht="15.75" customHeight="1" x14ac:dyDescent="0.25">
      <c r="F451" s="42"/>
      <c r="G451" s="43"/>
    </row>
    <row r="452" spans="6:7" ht="15.75" customHeight="1" x14ac:dyDescent="0.25">
      <c r="F452" s="42"/>
      <c r="G452" s="43"/>
    </row>
    <row r="453" spans="6:7" ht="15.75" customHeight="1" x14ac:dyDescent="0.25">
      <c r="F453" s="42"/>
      <c r="G453" s="43"/>
    </row>
    <row r="454" spans="6:7" ht="15.75" customHeight="1" x14ac:dyDescent="0.25">
      <c r="F454" s="42"/>
      <c r="G454" s="43"/>
    </row>
    <row r="455" spans="6:7" ht="15.75" customHeight="1" x14ac:dyDescent="0.25">
      <c r="F455" s="42"/>
      <c r="G455" s="43"/>
    </row>
    <row r="456" spans="6:7" ht="15.75" customHeight="1" x14ac:dyDescent="0.25">
      <c r="F456" s="42"/>
      <c r="G456" s="43"/>
    </row>
    <row r="457" spans="6:7" ht="15.75" customHeight="1" x14ac:dyDescent="0.25">
      <c r="F457" s="42"/>
      <c r="G457" s="43"/>
    </row>
    <row r="458" spans="6:7" ht="15.75" customHeight="1" x14ac:dyDescent="0.25">
      <c r="F458" s="42"/>
      <c r="G458" s="43"/>
    </row>
    <row r="459" spans="6:7" ht="15.75" customHeight="1" x14ac:dyDescent="0.25">
      <c r="F459" s="42"/>
      <c r="G459" s="43"/>
    </row>
    <row r="460" spans="6:7" ht="15.75" customHeight="1" x14ac:dyDescent="0.25">
      <c r="F460" s="42"/>
      <c r="G460" s="43"/>
    </row>
    <row r="461" spans="6:7" ht="15.75" customHeight="1" x14ac:dyDescent="0.25">
      <c r="F461" s="42"/>
      <c r="G461" s="43"/>
    </row>
    <row r="462" spans="6:7" ht="15.75" customHeight="1" x14ac:dyDescent="0.25">
      <c r="F462" s="42"/>
      <c r="G462" s="43"/>
    </row>
    <row r="463" spans="6:7" ht="15.75" customHeight="1" x14ac:dyDescent="0.25">
      <c r="F463" s="42"/>
      <c r="G463" s="43"/>
    </row>
    <row r="464" spans="6:7" ht="15.75" customHeight="1" x14ac:dyDescent="0.25">
      <c r="F464" s="42"/>
      <c r="G464" s="43"/>
    </row>
    <row r="465" spans="6:7" ht="15.75" customHeight="1" x14ac:dyDescent="0.25">
      <c r="F465" s="42"/>
      <c r="G465" s="43"/>
    </row>
    <row r="466" spans="6:7" ht="15.75" customHeight="1" x14ac:dyDescent="0.25">
      <c r="F466" s="42"/>
      <c r="G466" s="43"/>
    </row>
    <row r="467" spans="6:7" ht="15.75" customHeight="1" x14ac:dyDescent="0.25">
      <c r="F467" s="42"/>
      <c r="G467" s="43"/>
    </row>
    <row r="468" spans="6:7" ht="15.75" customHeight="1" x14ac:dyDescent="0.25">
      <c r="F468" s="42"/>
      <c r="G468" s="43"/>
    </row>
    <row r="469" spans="6:7" ht="15.75" customHeight="1" x14ac:dyDescent="0.25">
      <c r="F469" s="42"/>
      <c r="G469" s="43"/>
    </row>
    <row r="470" spans="6:7" ht="15.75" customHeight="1" x14ac:dyDescent="0.25">
      <c r="F470" s="42"/>
      <c r="G470" s="43"/>
    </row>
    <row r="471" spans="6:7" ht="15.75" customHeight="1" x14ac:dyDescent="0.25">
      <c r="F471" s="42"/>
      <c r="G471" s="43"/>
    </row>
    <row r="472" spans="6:7" ht="15.75" customHeight="1" x14ac:dyDescent="0.25">
      <c r="F472" s="42"/>
      <c r="G472" s="43"/>
    </row>
    <row r="473" spans="6:7" ht="15.75" customHeight="1" x14ac:dyDescent="0.25">
      <c r="F473" s="42"/>
      <c r="G473" s="43"/>
    </row>
    <row r="474" spans="6:7" ht="15.75" customHeight="1" x14ac:dyDescent="0.25">
      <c r="F474" s="42"/>
      <c r="G474" s="43"/>
    </row>
    <row r="475" spans="6:7" ht="15.75" customHeight="1" x14ac:dyDescent="0.25">
      <c r="F475" s="42"/>
      <c r="G475" s="43"/>
    </row>
    <row r="476" spans="6:7" ht="15.75" customHeight="1" x14ac:dyDescent="0.25">
      <c r="F476" s="42"/>
      <c r="G476" s="43"/>
    </row>
    <row r="477" spans="6:7" ht="15.75" customHeight="1" x14ac:dyDescent="0.25">
      <c r="F477" s="42"/>
      <c r="G477" s="43"/>
    </row>
    <row r="478" spans="6:7" ht="15.75" customHeight="1" x14ac:dyDescent="0.25">
      <c r="F478" s="42"/>
      <c r="G478" s="43"/>
    </row>
    <row r="479" spans="6:7" ht="15.75" customHeight="1" x14ac:dyDescent="0.25">
      <c r="F479" s="42"/>
      <c r="G479" s="43"/>
    </row>
    <row r="480" spans="6:7" ht="15.75" customHeight="1" x14ac:dyDescent="0.25">
      <c r="F480" s="42"/>
      <c r="G480" s="43"/>
    </row>
    <row r="481" spans="6:7" ht="15.75" customHeight="1" x14ac:dyDescent="0.25">
      <c r="F481" s="42"/>
      <c r="G481" s="43"/>
    </row>
    <row r="482" spans="6:7" ht="15.75" customHeight="1" x14ac:dyDescent="0.25">
      <c r="F482" s="42"/>
      <c r="G482" s="43"/>
    </row>
    <row r="483" spans="6:7" ht="15.75" customHeight="1" x14ac:dyDescent="0.25">
      <c r="F483" s="42"/>
      <c r="G483" s="43"/>
    </row>
    <row r="484" spans="6:7" ht="15.75" customHeight="1" x14ac:dyDescent="0.25">
      <c r="F484" s="42"/>
      <c r="G484" s="43"/>
    </row>
    <row r="485" spans="6:7" ht="15.75" customHeight="1" x14ac:dyDescent="0.25">
      <c r="F485" s="42"/>
      <c r="G485" s="43"/>
    </row>
    <row r="486" spans="6:7" ht="15.75" customHeight="1" x14ac:dyDescent="0.25">
      <c r="F486" s="42"/>
      <c r="G486" s="43"/>
    </row>
    <row r="487" spans="6:7" ht="15.75" customHeight="1" x14ac:dyDescent="0.25">
      <c r="F487" s="42"/>
      <c r="G487" s="43"/>
    </row>
    <row r="488" spans="6:7" ht="15.75" customHeight="1" x14ac:dyDescent="0.25">
      <c r="F488" s="42"/>
      <c r="G488" s="43"/>
    </row>
    <row r="489" spans="6:7" ht="15.75" customHeight="1" x14ac:dyDescent="0.25">
      <c r="F489" s="42"/>
      <c r="G489" s="43"/>
    </row>
    <row r="490" spans="6:7" ht="15.75" customHeight="1" x14ac:dyDescent="0.25">
      <c r="F490" s="42"/>
      <c r="G490" s="43"/>
    </row>
    <row r="491" spans="6:7" ht="15.75" customHeight="1" x14ac:dyDescent="0.25">
      <c r="F491" s="42"/>
      <c r="G491" s="43"/>
    </row>
    <row r="492" spans="6:7" ht="15.75" customHeight="1" x14ac:dyDescent="0.25">
      <c r="F492" s="42"/>
      <c r="G492" s="43"/>
    </row>
    <row r="493" spans="6:7" ht="15.75" customHeight="1" x14ac:dyDescent="0.25">
      <c r="F493" s="42"/>
      <c r="G493" s="43"/>
    </row>
    <row r="494" spans="6:7" ht="15.75" customHeight="1" x14ac:dyDescent="0.25">
      <c r="F494" s="42"/>
      <c r="G494" s="43"/>
    </row>
    <row r="495" spans="6:7" ht="15.75" customHeight="1" x14ac:dyDescent="0.25">
      <c r="F495" s="42"/>
      <c r="G495" s="43"/>
    </row>
    <row r="496" spans="6:7" ht="15.75" customHeight="1" x14ac:dyDescent="0.25">
      <c r="F496" s="42"/>
      <c r="G496" s="43"/>
    </row>
    <row r="497" spans="6:7" ht="15.75" customHeight="1" x14ac:dyDescent="0.25">
      <c r="F497" s="42"/>
      <c r="G497" s="43"/>
    </row>
    <row r="498" spans="6:7" ht="15.75" customHeight="1" x14ac:dyDescent="0.25">
      <c r="F498" s="42"/>
      <c r="G498" s="43"/>
    </row>
    <row r="499" spans="6:7" ht="15.75" customHeight="1" x14ac:dyDescent="0.25">
      <c r="F499" s="42"/>
      <c r="G499" s="43"/>
    </row>
    <row r="500" spans="6:7" ht="15.75" customHeight="1" x14ac:dyDescent="0.25">
      <c r="F500" s="42"/>
      <c r="G500" s="43"/>
    </row>
    <row r="501" spans="6:7" ht="15.75" customHeight="1" x14ac:dyDescent="0.25">
      <c r="F501" s="42"/>
      <c r="G501" s="43"/>
    </row>
    <row r="502" spans="6:7" ht="15.75" customHeight="1" x14ac:dyDescent="0.25">
      <c r="F502" s="42"/>
      <c r="G502" s="43"/>
    </row>
    <row r="503" spans="6:7" ht="15.75" customHeight="1" x14ac:dyDescent="0.25">
      <c r="F503" s="42"/>
      <c r="G503" s="43"/>
    </row>
    <row r="504" spans="6:7" ht="15.75" customHeight="1" x14ac:dyDescent="0.25">
      <c r="F504" s="42"/>
      <c r="G504" s="43"/>
    </row>
    <row r="505" spans="6:7" ht="15.75" customHeight="1" x14ac:dyDescent="0.25">
      <c r="F505" s="42"/>
      <c r="G505" s="43"/>
    </row>
    <row r="506" spans="6:7" ht="15.75" customHeight="1" x14ac:dyDescent="0.25">
      <c r="F506" s="42"/>
      <c r="G506" s="43"/>
    </row>
    <row r="507" spans="6:7" ht="15.75" customHeight="1" x14ac:dyDescent="0.25">
      <c r="F507" s="42"/>
      <c r="G507" s="43"/>
    </row>
    <row r="508" spans="6:7" ht="15.75" customHeight="1" x14ac:dyDescent="0.25">
      <c r="F508" s="42"/>
      <c r="G508" s="43"/>
    </row>
    <row r="509" spans="6:7" ht="15.75" customHeight="1" x14ac:dyDescent="0.25">
      <c r="F509" s="42"/>
      <c r="G509" s="43"/>
    </row>
    <row r="510" spans="6:7" ht="15.75" customHeight="1" x14ac:dyDescent="0.25">
      <c r="F510" s="42"/>
      <c r="G510" s="43"/>
    </row>
    <row r="511" spans="6:7" ht="15.75" customHeight="1" x14ac:dyDescent="0.25">
      <c r="F511" s="42"/>
      <c r="G511" s="43"/>
    </row>
    <row r="512" spans="6:7" ht="15.75" customHeight="1" x14ac:dyDescent="0.25">
      <c r="F512" s="42"/>
      <c r="G512" s="43"/>
    </row>
    <row r="513" spans="6:7" ht="15.75" customHeight="1" x14ac:dyDescent="0.25">
      <c r="F513" s="42"/>
      <c r="G513" s="43"/>
    </row>
    <row r="514" spans="6:7" ht="15.75" customHeight="1" x14ac:dyDescent="0.25">
      <c r="F514" s="42"/>
      <c r="G514" s="43"/>
    </row>
    <row r="515" spans="6:7" ht="15.75" customHeight="1" x14ac:dyDescent="0.25">
      <c r="F515" s="42"/>
      <c r="G515" s="43"/>
    </row>
    <row r="516" spans="6:7" ht="15.75" customHeight="1" x14ac:dyDescent="0.25">
      <c r="F516" s="42"/>
      <c r="G516" s="43"/>
    </row>
    <row r="517" spans="6:7" ht="15.75" customHeight="1" x14ac:dyDescent="0.25">
      <c r="F517" s="42"/>
      <c r="G517" s="43"/>
    </row>
    <row r="518" spans="6:7" ht="15.75" customHeight="1" x14ac:dyDescent="0.25">
      <c r="F518" s="42"/>
      <c r="G518" s="43"/>
    </row>
    <row r="519" spans="6:7" ht="15.75" customHeight="1" x14ac:dyDescent="0.25">
      <c r="F519" s="42"/>
      <c r="G519" s="43"/>
    </row>
    <row r="520" spans="6:7" ht="15.75" customHeight="1" x14ac:dyDescent="0.25">
      <c r="F520" s="42"/>
      <c r="G520" s="43"/>
    </row>
    <row r="521" spans="6:7" ht="15.75" customHeight="1" x14ac:dyDescent="0.25">
      <c r="F521" s="42"/>
      <c r="G521" s="43"/>
    </row>
    <row r="522" spans="6:7" ht="15.75" customHeight="1" x14ac:dyDescent="0.25">
      <c r="F522" s="42"/>
      <c r="G522" s="43"/>
    </row>
    <row r="523" spans="6:7" ht="15.75" customHeight="1" x14ac:dyDescent="0.25">
      <c r="F523" s="42"/>
      <c r="G523" s="43"/>
    </row>
    <row r="524" spans="6:7" ht="15.75" customHeight="1" x14ac:dyDescent="0.25">
      <c r="F524" s="42"/>
      <c r="G524" s="43"/>
    </row>
    <row r="525" spans="6:7" ht="15.75" customHeight="1" x14ac:dyDescent="0.25">
      <c r="F525" s="42"/>
      <c r="G525" s="43"/>
    </row>
    <row r="526" spans="6:7" ht="15.75" customHeight="1" x14ac:dyDescent="0.25">
      <c r="F526" s="42"/>
      <c r="G526" s="43"/>
    </row>
    <row r="527" spans="6:7" ht="15.75" customHeight="1" x14ac:dyDescent="0.25">
      <c r="F527" s="42"/>
      <c r="G527" s="43"/>
    </row>
    <row r="528" spans="6:7" ht="15.75" customHeight="1" x14ac:dyDescent="0.25">
      <c r="F528" s="42"/>
      <c r="G528" s="43"/>
    </row>
    <row r="529" spans="6:7" ht="15.75" customHeight="1" x14ac:dyDescent="0.25">
      <c r="F529" s="42"/>
      <c r="G529" s="43"/>
    </row>
    <row r="530" spans="6:7" ht="15.75" customHeight="1" x14ac:dyDescent="0.25">
      <c r="F530" s="42"/>
      <c r="G530" s="43"/>
    </row>
    <row r="531" spans="6:7" ht="15.75" customHeight="1" x14ac:dyDescent="0.25">
      <c r="F531" s="42"/>
      <c r="G531" s="43"/>
    </row>
    <row r="532" spans="6:7" ht="15.75" customHeight="1" x14ac:dyDescent="0.25">
      <c r="F532" s="42"/>
      <c r="G532" s="43"/>
    </row>
    <row r="533" spans="6:7" ht="15.75" customHeight="1" x14ac:dyDescent="0.25">
      <c r="F533" s="42"/>
      <c r="G533" s="43"/>
    </row>
    <row r="534" spans="6:7" ht="15.75" customHeight="1" x14ac:dyDescent="0.25">
      <c r="F534" s="42"/>
      <c r="G534" s="43"/>
    </row>
    <row r="535" spans="6:7" ht="15.75" customHeight="1" x14ac:dyDescent="0.25">
      <c r="F535" s="42"/>
      <c r="G535" s="43"/>
    </row>
    <row r="536" spans="6:7" ht="15.75" customHeight="1" x14ac:dyDescent="0.25">
      <c r="F536" s="42"/>
      <c r="G536" s="43"/>
    </row>
    <row r="537" spans="6:7" ht="15.75" customHeight="1" x14ac:dyDescent="0.25">
      <c r="F537" s="42"/>
      <c r="G537" s="43"/>
    </row>
    <row r="538" spans="6:7" ht="15.75" customHeight="1" x14ac:dyDescent="0.25">
      <c r="F538" s="42"/>
      <c r="G538" s="43"/>
    </row>
    <row r="539" spans="6:7" ht="15.75" customHeight="1" x14ac:dyDescent="0.25">
      <c r="F539" s="42"/>
      <c r="G539" s="43"/>
    </row>
    <row r="540" spans="6:7" ht="15.75" customHeight="1" x14ac:dyDescent="0.25">
      <c r="F540" s="42"/>
      <c r="G540" s="43"/>
    </row>
    <row r="541" spans="6:7" ht="15.75" customHeight="1" x14ac:dyDescent="0.25">
      <c r="F541" s="42"/>
      <c r="G541" s="43"/>
    </row>
    <row r="542" spans="6:7" ht="15.75" customHeight="1" x14ac:dyDescent="0.25">
      <c r="F542" s="42"/>
      <c r="G542" s="43"/>
    </row>
    <row r="543" spans="6:7" ht="15.75" customHeight="1" x14ac:dyDescent="0.25">
      <c r="F543" s="42"/>
      <c r="G543" s="43"/>
    </row>
    <row r="544" spans="6:7" ht="15.75" customHeight="1" x14ac:dyDescent="0.25">
      <c r="F544" s="42"/>
      <c r="G544" s="43"/>
    </row>
    <row r="545" spans="6:7" ht="15.75" customHeight="1" x14ac:dyDescent="0.25">
      <c r="F545" s="42"/>
      <c r="G545" s="43"/>
    </row>
    <row r="546" spans="6:7" ht="15.75" customHeight="1" x14ac:dyDescent="0.25">
      <c r="F546" s="42"/>
      <c r="G546" s="43"/>
    </row>
    <row r="547" spans="6:7" ht="15.75" customHeight="1" x14ac:dyDescent="0.25">
      <c r="F547" s="42"/>
      <c r="G547" s="43"/>
    </row>
    <row r="548" spans="6:7" ht="15.75" customHeight="1" x14ac:dyDescent="0.25">
      <c r="F548" s="42"/>
      <c r="G548" s="43"/>
    </row>
    <row r="549" spans="6:7" ht="15.75" customHeight="1" x14ac:dyDescent="0.25">
      <c r="F549" s="42"/>
      <c r="G549" s="43"/>
    </row>
    <row r="550" spans="6:7" ht="15.75" customHeight="1" x14ac:dyDescent="0.25">
      <c r="F550" s="42"/>
      <c r="G550" s="43"/>
    </row>
    <row r="551" spans="6:7" ht="15.75" customHeight="1" x14ac:dyDescent="0.25">
      <c r="F551" s="42"/>
      <c r="G551" s="43"/>
    </row>
    <row r="552" spans="6:7" ht="15.75" customHeight="1" x14ac:dyDescent="0.25">
      <c r="F552" s="42"/>
      <c r="G552" s="43"/>
    </row>
    <row r="553" spans="6:7" ht="15.75" customHeight="1" x14ac:dyDescent="0.25">
      <c r="F553" s="42"/>
      <c r="G553" s="43"/>
    </row>
    <row r="554" spans="6:7" ht="15.75" customHeight="1" x14ac:dyDescent="0.25">
      <c r="F554" s="42"/>
      <c r="G554" s="43"/>
    </row>
    <row r="555" spans="6:7" ht="15.75" customHeight="1" x14ac:dyDescent="0.25">
      <c r="F555" s="42"/>
      <c r="G555" s="43"/>
    </row>
    <row r="556" spans="6:7" ht="15.75" customHeight="1" x14ac:dyDescent="0.25">
      <c r="F556" s="42"/>
      <c r="G556" s="43"/>
    </row>
    <row r="557" spans="6:7" ht="15.75" customHeight="1" x14ac:dyDescent="0.25">
      <c r="F557" s="42"/>
      <c r="G557" s="43"/>
    </row>
    <row r="558" spans="6:7" ht="15.75" customHeight="1" x14ac:dyDescent="0.25">
      <c r="F558" s="42"/>
      <c r="G558" s="43"/>
    </row>
    <row r="559" spans="6:7" ht="15.75" customHeight="1" x14ac:dyDescent="0.25">
      <c r="F559" s="42"/>
      <c r="G559" s="43"/>
    </row>
    <row r="560" spans="6:7" ht="15.75" customHeight="1" x14ac:dyDescent="0.25">
      <c r="F560" s="42"/>
      <c r="G560" s="43"/>
    </row>
    <row r="561" spans="6:7" ht="15.75" customHeight="1" x14ac:dyDescent="0.25">
      <c r="F561" s="42"/>
      <c r="G561" s="43"/>
    </row>
    <row r="562" spans="6:7" ht="15.75" customHeight="1" x14ac:dyDescent="0.25">
      <c r="F562" s="42"/>
      <c r="G562" s="43"/>
    </row>
    <row r="563" spans="6:7" ht="15.75" customHeight="1" x14ac:dyDescent="0.25">
      <c r="F563" s="42"/>
      <c r="G563" s="43"/>
    </row>
    <row r="564" spans="6:7" ht="15.75" customHeight="1" x14ac:dyDescent="0.25">
      <c r="F564" s="42"/>
      <c r="G564" s="43"/>
    </row>
    <row r="565" spans="6:7" ht="15.75" customHeight="1" x14ac:dyDescent="0.25">
      <c r="F565" s="42"/>
      <c r="G565" s="43"/>
    </row>
    <row r="566" spans="6:7" ht="15.75" customHeight="1" x14ac:dyDescent="0.25">
      <c r="F566" s="42"/>
      <c r="G566" s="43"/>
    </row>
    <row r="567" spans="6:7" ht="15.75" customHeight="1" x14ac:dyDescent="0.25">
      <c r="F567" s="42"/>
      <c r="G567" s="43"/>
    </row>
    <row r="568" spans="6:7" ht="15.75" customHeight="1" x14ac:dyDescent="0.25">
      <c r="F568" s="42"/>
      <c r="G568" s="43"/>
    </row>
    <row r="569" spans="6:7" ht="15.75" customHeight="1" x14ac:dyDescent="0.25">
      <c r="F569" s="42"/>
      <c r="G569" s="43"/>
    </row>
    <row r="570" spans="6:7" ht="15.75" customHeight="1" x14ac:dyDescent="0.25">
      <c r="F570" s="42"/>
      <c r="G570" s="43"/>
    </row>
    <row r="571" spans="6:7" ht="15.75" customHeight="1" x14ac:dyDescent="0.25">
      <c r="F571" s="42"/>
      <c r="G571" s="43"/>
    </row>
    <row r="572" spans="6:7" ht="15.75" customHeight="1" x14ac:dyDescent="0.25">
      <c r="F572" s="42"/>
      <c r="G572" s="43"/>
    </row>
    <row r="573" spans="6:7" ht="15.75" customHeight="1" x14ac:dyDescent="0.25">
      <c r="F573" s="42"/>
      <c r="G573" s="43"/>
    </row>
    <row r="574" spans="6:7" ht="15.75" customHeight="1" x14ac:dyDescent="0.25">
      <c r="F574" s="42"/>
      <c r="G574" s="43"/>
    </row>
    <row r="575" spans="6:7" ht="15.75" customHeight="1" x14ac:dyDescent="0.25">
      <c r="F575" s="42"/>
      <c r="G575" s="43"/>
    </row>
    <row r="576" spans="6:7" ht="15.75" customHeight="1" x14ac:dyDescent="0.25">
      <c r="F576" s="42"/>
      <c r="G576" s="43"/>
    </row>
    <row r="577" spans="6:7" ht="15.75" customHeight="1" x14ac:dyDescent="0.25">
      <c r="F577" s="42"/>
      <c r="G577" s="43"/>
    </row>
    <row r="578" spans="6:7" ht="15.75" customHeight="1" x14ac:dyDescent="0.25">
      <c r="F578" s="42"/>
      <c r="G578" s="43"/>
    </row>
    <row r="579" spans="6:7" ht="15.75" customHeight="1" x14ac:dyDescent="0.25">
      <c r="F579" s="42"/>
      <c r="G579" s="43"/>
    </row>
    <row r="580" spans="6:7" ht="15.75" customHeight="1" x14ac:dyDescent="0.25">
      <c r="F580" s="42"/>
      <c r="G580" s="43"/>
    </row>
    <row r="581" spans="6:7" ht="15.75" customHeight="1" x14ac:dyDescent="0.25">
      <c r="F581" s="42"/>
      <c r="G581" s="43"/>
    </row>
    <row r="582" spans="6:7" ht="15.75" customHeight="1" x14ac:dyDescent="0.25">
      <c r="F582" s="42"/>
      <c r="G582" s="43"/>
    </row>
    <row r="583" spans="6:7" ht="15.75" customHeight="1" x14ac:dyDescent="0.25">
      <c r="F583" s="42"/>
      <c r="G583" s="43"/>
    </row>
    <row r="584" spans="6:7" ht="15.75" customHeight="1" x14ac:dyDescent="0.25">
      <c r="F584" s="42"/>
      <c r="G584" s="43"/>
    </row>
    <row r="585" spans="6:7" ht="15.75" customHeight="1" x14ac:dyDescent="0.25">
      <c r="F585" s="42"/>
      <c r="G585" s="43"/>
    </row>
    <row r="586" spans="6:7" ht="15.75" customHeight="1" x14ac:dyDescent="0.25">
      <c r="F586" s="42"/>
      <c r="G586" s="43"/>
    </row>
    <row r="587" spans="6:7" ht="15.75" customHeight="1" x14ac:dyDescent="0.25">
      <c r="F587" s="42"/>
      <c r="G587" s="43"/>
    </row>
    <row r="588" spans="6:7" ht="15.75" customHeight="1" x14ac:dyDescent="0.25">
      <c r="F588" s="42"/>
      <c r="G588" s="43"/>
    </row>
    <row r="589" spans="6:7" ht="15.75" customHeight="1" x14ac:dyDescent="0.25">
      <c r="F589" s="42"/>
      <c r="G589" s="43"/>
    </row>
    <row r="590" spans="6:7" ht="15.75" customHeight="1" x14ac:dyDescent="0.25">
      <c r="F590" s="42"/>
      <c r="G590" s="43"/>
    </row>
    <row r="591" spans="6:7" ht="15.75" customHeight="1" x14ac:dyDescent="0.25">
      <c r="F591" s="42"/>
      <c r="G591" s="43"/>
    </row>
    <row r="592" spans="6:7" ht="15.75" customHeight="1" x14ac:dyDescent="0.25">
      <c r="F592" s="42"/>
      <c r="G592" s="43"/>
    </row>
    <row r="593" spans="6:7" ht="15.75" customHeight="1" x14ac:dyDescent="0.25">
      <c r="F593" s="42"/>
      <c r="G593" s="43"/>
    </row>
    <row r="594" spans="6:7" ht="15.75" customHeight="1" x14ac:dyDescent="0.25">
      <c r="F594" s="42"/>
      <c r="G594" s="43"/>
    </row>
    <row r="595" spans="6:7" ht="15.75" customHeight="1" x14ac:dyDescent="0.25">
      <c r="F595" s="42"/>
      <c r="G595" s="43"/>
    </row>
    <row r="596" spans="6:7" ht="15.75" customHeight="1" x14ac:dyDescent="0.25">
      <c r="F596" s="42"/>
      <c r="G596" s="43"/>
    </row>
    <row r="597" spans="6:7" ht="15.75" customHeight="1" x14ac:dyDescent="0.25">
      <c r="F597" s="42"/>
      <c r="G597" s="43"/>
    </row>
    <row r="598" spans="6:7" ht="15.75" customHeight="1" x14ac:dyDescent="0.25">
      <c r="F598" s="42"/>
      <c r="G598" s="43"/>
    </row>
    <row r="599" spans="6:7" ht="15.75" customHeight="1" x14ac:dyDescent="0.25">
      <c r="F599" s="42"/>
      <c r="G599" s="43"/>
    </row>
    <row r="600" spans="6:7" ht="15.75" customHeight="1" x14ac:dyDescent="0.25">
      <c r="F600" s="42"/>
      <c r="G600" s="43"/>
    </row>
    <row r="601" spans="6:7" ht="15.75" customHeight="1" x14ac:dyDescent="0.25">
      <c r="F601" s="42"/>
      <c r="G601" s="43"/>
    </row>
    <row r="602" spans="6:7" ht="15.75" customHeight="1" x14ac:dyDescent="0.25">
      <c r="F602" s="42"/>
      <c r="G602" s="43"/>
    </row>
    <row r="603" spans="6:7" ht="15.75" customHeight="1" x14ac:dyDescent="0.25">
      <c r="F603" s="42"/>
      <c r="G603" s="43"/>
    </row>
    <row r="604" spans="6:7" ht="15.75" customHeight="1" x14ac:dyDescent="0.25">
      <c r="F604" s="42"/>
      <c r="G604" s="43"/>
    </row>
    <row r="605" spans="6:7" ht="15.75" customHeight="1" x14ac:dyDescent="0.25">
      <c r="F605" s="42"/>
      <c r="G605" s="43"/>
    </row>
    <row r="606" spans="6:7" ht="15.75" customHeight="1" x14ac:dyDescent="0.25">
      <c r="F606" s="42"/>
      <c r="G606" s="43"/>
    </row>
    <row r="607" spans="6:7" ht="15.75" customHeight="1" x14ac:dyDescent="0.25">
      <c r="F607" s="42"/>
      <c r="G607" s="43"/>
    </row>
    <row r="608" spans="6:7" ht="15.75" customHeight="1" x14ac:dyDescent="0.25">
      <c r="F608" s="42"/>
      <c r="G608" s="43"/>
    </row>
    <row r="609" spans="6:7" ht="15.75" customHeight="1" x14ac:dyDescent="0.25">
      <c r="F609" s="42"/>
      <c r="G609" s="43"/>
    </row>
    <row r="610" spans="6:7" ht="15.75" customHeight="1" x14ac:dyDescent="0.25">
      <c r="F610" s="42"/>
      <c r="G610" s="43"/>
    </row>
    <row r="611" spans="6:7" ht="15.75" customHeight="1" x14ac:dyDescent="0.25">
      <c r="F611" s="42"/>
      <c r="G611" s="43"/>
    </row>
    <row r="612" spans="6:7" ht="15.75" customHeight="1" x14ac:dyDescent="0.25">
      <c r="F612" s="42"/>
      <c r="G612" s="43"/>
    </row>
    <row r="613" spans="6:7" ht="15.75" customHeight="1" x14ac:dyDescent="0.25">
      <c r="F613" s="42"/>
      <c r="G613" s="43"/>
    </row>
    <row r="614" spans="6:7" ht="15.75" customHeight="1" x14ac:dyDescent="0.25">
      <c r="F614" s="42"/>
      <c r="G614" s="43"/>
    </row>
    <row r="615" spans="6:7" ht="15.75" customHeight="1" x14ac:dyDescent="0.25">
      <c r="F615" s="42"/>
      <c r="G615" s="43"/>
    </row>
    <row r="616" spans="6:7" ht="15.75" customHeight="1" x14ac:dyDescent="0.25">
      <c r="F616" s="42"/>
      <c r="G616" s="43"/>
    </row>
    <row r="617" spans="6:7" ht="15.75" customHeight="1" x14ac:dyDescent="0.25">
      <c r="F617" s="42"/>
      <c r="G617" s="43"/>
    </row>
    <row r="618" spans="6:7" ht="15.75" customHeight="1" x14ac:dyDescent="0.25">
      <c r="F618" s="42"/>
      <c r="G618" s="43"/>
    </row>
    <row r="619" spans="6:7" ht="15.75" customHeight="1" x14ac:dyDescent="0.25">
      <c r="F619" s="42"/>
      <c r="G619" s="43"/>
    </row>
    <row r="620" spans="6:7" ht="15.75" customHeight="1" x14ac:dyDescent="0.25">
      <c r="F620" s="42"/>
      <c r="G620" s="43"/>
    </row>
    <row r="621" spans="6:7" ht="15.75" customHeight="1" x14ac:dyDescent="0.25">
      <c r="F621" s="42"/>
      <c r="G621" s="43"/>
    </row>
    <row r="622" spans="6:7" ht="15.75" customHeight="1" x14ac:dyDescent="0.25">
      <c r="F622" s="42"/>
      <c r="G622" s="43"/>
    </row>
    <row r="623" spans="6:7" ht="15.75" customHeight="1" x14ac:dyDescent="0.25">
      <c r="F623" s="42"/>
      <c r="G623" s="43"/>
    </row>
    <row r="624" spans="6:7" ht="15.75" customHeight="1" x14ac:dyDescent="0.25">
      <c r="F624" s="42"/>
      <c r="G624" s="43"/>
    </row>
    <row r="625" spans="6:7" ht="15.75" customHeight="1" x14ac:dyDescent="0.25">
      <c r="F625" s="42"/>
      <c r="G625" s="43"/>
    </row>
    <row r="626" spans="6:7" ht="15.75" customHeight="1" x14ac:dyDescent="0.25">
      <c r="F626" s="42"/>
      <c r="G626" s="43"/>
    </row>
    <row r="627" spans="6:7" ht="15.75" customHeight="1" x14ac:dyDescent="0.25">
      <c r="F627" s="42"/>
      <c r="G627" s="43"/>
    </row>
    <row r="628" spans="6:7" ht="15.75" customHeight="1" x14ac:dyDescent="0.25">
      <c r="F628" s="42"/>
      <c r="G628" s="43"/>
    </row>
    <row r="629" spans="6:7" ht="15.75" customHeight="1" x14ac:dyDescent="0.25">
      <c r="F629" s="42"/>
      <c r="G629" s="43"/>
    </row>
    <row r="630" spans="6:7" ht="15.75" customHeight="1" x14ac:dyDescent="0.25">
      <c r="F630" s="42"/>
      <c r="G630" s="43"/>
    </row>
    <row r="631" spans="6:7" ht="15.75" customHeight="1" x14ac:dyDescent="0.25">
      <c r="F631" s="42"/>
      <c r="G631" s="43"/>
    </row>
    <row r="632" spans="6:7" ht="15.75" customHeight="1" x14ac:dyDescent="0.25">
      <c r="F632" s="42"/>
      <c r="G632" s="43"/>
    </row>
    <row r="633" spans="6:7" ht="15.75" customHeight="1" x14ac:dyDescent="0.25">
      <c r="F633" s="42"/>
      <c r="G633" s="43"/>
    </row>
    <row r="634" spans="6:7" ht="15.75" customHeight="1" x14ac:dyDescent="0.25">
      <c r="F634" s="42"/>
      <c r="G634" s="43"/>
    </row>
    <row r="635" spans="6:7" ht="15.75" customHeight="1" x14ac:dyDescent="0.25">
      <c r="F635" s="42"/>
      <c r="G635" s="43"/>
    </row>
    <row r="636" spans="6:7" ht="15.75" customHeight="1" x14ac:dyDescent="0.25">
      <c r="F636" s="42"/>
      <c r="G636" s="43"/>
    </row>
    <row r="637" spans="6:7" ht="15.75" customHeight="1" x14ac:dyDescent="0.25">
      <c r="F637" s="42"/>
      <c r="G637" s="43"/>
    </row>
    <row r="638" spans="6:7" ht="15.75" customHeight="1" x14ac:dyDescent="0.25">
      <c r="F638" s="42"/>
      <c r="G638" s="43"/>
    </row>
    <row r="639" spans="6:7" ht="15.75" customHeight="1" x14ac:dyDescent="0.25">
      <c r="F639" s="42"/>
      <c r="G639" s="43"/>
    </row>
    <row r="640" spans="6:7" ht="15.75" customHeight="1" x14ac:dyDescent="0.25">
      <c r="F640" s="42"/>
      <c r="G640" s="43"/>
    </row>
    <row r="641" spans="6:7" ht="15.75" customHeight="1" x14ac:dyDescent="0.25">
      <c r="F641" s="42"/>
      <c r="G641" s="43"/>
    </row>
    <row r="642" spans="6:7" ht="15.75" customHeight="1" x14ac:dyDescent="0.25">
      <c r="F642" s="42"/>
      <c r="G642" s="43"/>
    </row>
    <row r="643" spans="6:7" ht="15.75" customHeight="1" x14ac:dyDescent="0.25">
      <c r="F643" s="42"/>
      <c r="G643" s="43"/>
    </row>
    <row r="644" spans="6:7" ht="15.75" customHeight="1" x14ac:dyDescent="0.25">
      <c r="F644" s="42"/>
      <c r="G644" s="43"/>
    </row>
    <row r="645" spans="6:7" ht="15.75" customHeight="1" x14ac:dyDescent="0.25">
      <c r="F645" s="42"/>
      <c r="G645" s="43"/>
    </row>
    <row r="646" spans="6:7" ht="15.75" customHeight="1" x14ac:dyDescent="0.25">
      <c r="F646" s="42"/>
      <c r="G646" s="43"/>
    </row>
    <row r="647" spans="6:7" ht="15.75" customHeight="1" x14ac:dyDescent="0.25">
      <c r="F647" s="42"/>
      <c r="G647" s="43"/>
    </row>
    <row r="648" spans="6:7" ht="15.75" customHeight="1" x14ac:dyDescent="0.25">
      <c r="F648" s="42"/>
      <c r="G648" s="43"/>
    </row>
    <row r="649" spans="6:7" ht="15.75" customHeight="1" x14ac:dyDescent="0.25">
      <c r="F649" s="42"/>
      <c r="G649" s="43"/>
    </row>
    <row r="650" spans="6:7" ht="15.75" customHeight="1" x14ac:dyDescent="0.25">
      <c r="F650" s="42"/>
      <c r="G650" s="43"/>
    </row>
    <row r="651" spans="6:7" ht="15.75" customHeight="1" x14ac:dyDescent="0.25">
      <c r="F651" s="42"/>
      <c r="G651" s="43"/>
    </row>
    <row r="652" spans="6:7" ht="15.75" customHeight="1" x14ac:dyDescent="0.25">
      <c r="F652" s="42"/>
      <c r="G652" s="43"/>
    </row>
    <row r="653" spans="6:7" ht="15.75" customHeight="1" x14ac:dyDescent="0.25">
      <c r="F653" s="42"/>
      <c r="G653" s="43"/>
    </row>
    <row r="654" spans="6:7" ht="15.75" customHeight="1" x14ac:dyDescent="0.25">
      <c r="F654" s="42"/>
      <c r="G654" s="43"/>
    </row>
    <row r="655" spans="6:7" ht="15.75" customHeight="1" x14ac:dyDescent="0.25">
      <c r="F655" s="42"/>
      <c r="G655" s="43"/>
    </row>
    <row r="656" spans="6:7" ht="15.75" customHeight="1" x14ac:dyDescent="0.25">
      <c r="F656" s="42"/>
      <c r="G656" s="43"/>
    </row>
    <row r="657" spans="6:7" ht="15.75" customHeight="1" x14ac:dyDescent="0.25">
      <c r="F657" s="42"/>
      <c r="G657" s="43"/>
    </row>
    <row r="658" spans="6:7" ht="15.75" customHeight="1" x14ac:dyDescent="0.25">
      <c r="F658" s="42"/>
      <c r="G658" s="43"/>
    </row>
    <row r="659" spans="6:7" ht="15.75" customHeight="1" x14ac:dyDescent="0.25">
      <c r="F659" s="42"/>
      <c r="G659" s="43"/>
    </row>
    <row r="660" spans="6:7" ht="15.75" customHeight="1" x14ac:dyDescent="0.25">
      <c r="F660" s="42"/>
      <c r="G660" s="43"/>
    </row>
    <row r="661" spans="6:7" ht="15.75" customHeight="1" x14ac:dyDescent="0.25">
      <c r="F661" s="42"/>
      <c r="G661" s="43"/>
    </row>
    <row r="662" spans="6:7" ht="15.75" customHeight="1" x14ac:dyDescent="0.25">
      <c r="F662" s="42"/>
      <c r="G662" s="43"/>
    </row>
    <row r="663" spans="6:7" ht="15.75" customHeight="1" x14ac:dyDescent="0.25">
      <c r="F663" s="42"/>
      <c r="G663" s="43"/>
    </row>
    <row r="664" spans="6:7" ht="15.75" customHeight="1" x14ac:dyDescent="0.25">
      <c r="F664" s="42"/>
      <c r="G664" s="43"/>
    </row>
    <row r="665" spans="6:7" ht="15.75" customHeight="1" x14ac:dyDescent="0.25">
      <c r="F665" s="42"/>
      <c r="G665" s="43"/>
    </row>
    <row r="666" spans="6:7" ht="15.75" customHeight="1" x14ac:dyDescent="0.25">
      <c r="F666" s="42"/>
      <c r="G666" s="43"/>
    </row>
    <row r="667" spans="6:7" ht="15.75" customHeight="1" x14ac:dyDescent="0.25">
      <c r="F667" s="42"/>
      <c r="G667" s="43"/>
    </row>
    <row r="668" spans="6:7" ht="15.75" customHeight="1" x14ac:dyDescent="0.25">
      <c r="F668" s="42"/>
      <c r="G668" s="43"/>
    </row>
    <row r="669" spans="6:7" ht="15.75" customHeight="1" x14ac:dyDescent="0.25">
      <c r="F669" s="42"/>
      <c r="G669" s="43"/>
    </row>
    <row r="670" spans="6:7" ht="15.75" customHeight="1" x14ac:dyDescent="0.25">
      <c r="F670" s="42"/>
      <c r="G670" s="43"/>
    </row>
    <row r="671" spans="6:7" ht="15.75" customHeight="1" x14ac:dyDescent="0.25">
      <c r="F671" s="42"/>
      <c r="G671" s="43"/>
    </row>
    <row r="672" spans="6:7" ht="15.75" customHeight="1" x14ac:dyDescent="0.25">
      <c r="F672" s="42"/>
      <c r="G672" s="43"/>
    </row>
    <row r="673" spans="6:7" ht="15.75" customHeight="1" x14ac:dyDescent="0.25">
      <c r="F673" s="42"/>
      <c r="G673" s="43"/>
    </row>
    <row r="674" spans="6:7" ht="15.75" customHeight="1" x14ac:dyDescent="0.25">
      <c r="F674" s="42"/>
      <c r="G674" s="43"/>
    </row>
    <row r="675" spans="6:7" ht="15.75" customHeight="1" x14ac:dyDescent="0.25">
      <c r="F675" s="42"/>
      <c r="G675" s="43"/>
    </row>
    <row r="676" spans="6:7" ht="15.75" customHeight="1" x14ac:dyDescent="0.25">
      <c r="F676" s="42"/>
      <c r="G676" s="43"/>
    </row>
    <row r="677" spans="6:7" ht="15.75" customHeight="1" x14ac:dyDescent="0.25">
      <c r="F677" s="42"/>
      <c r="G677" s="43"/>
    </row>
    <row r="678" spans="6:7" ht="15.75" customHeight="1" x14ac:dyDescent="0.25">
      <c r="F678" s="42"/>
      <c r="G678" s="43"/>
    </row>
    <row r="679" spans="6:7" ht="15.75" customHeight="1" x14ac:dyDescent="0.25">
      <c r="F679" s="42"/>
      <c r="G679" s="43"/>
    </row>
    <row r="680" spans="6:7" ht="15.75" customHeight="1" x14ac:dyDescent="0.25">
      <c r="F680" s="42"/>
      <c r="G680" s="43"/>
    </row>
    <row r="681" spans="6:7" ht="15.75" customHeight="1" x14ac:dyDescent="0.25">
      <c r="F681" s="42"/>
      <c r="G681" s="43"/>
    </row>
    <row r="682" spans="6:7" ht="15.75" customHeight="1" x14ac:dyDescent="0.25">
      <c r="F682" s="42"/>
      <c r="G682" s="43"/>
    </row>
    <row r="683" spans="6:7" ht="15.75" customHeight="1" x14ac:dyDescent="0.25">
      <c r="F683" s="42"/>
      <c r="G683" s="43"/>
    </row>
    <row r="684" spans="6:7" ht="15.75" customHeight="1" x14ac:dyDescent="0.25">
      <c r="F684" s="42"/>
      <c r="G684" s="43"/>
    </row>
    <row r="685" spans="6:7" ht="15.75" customHeight="1" x14ac:dyDescent="0.25">
      <c r="F685" s="42"/>
      <c r="G685" s="43"/>
    </row>
    <row r="686" spans="6:7" ht="15.75" customHeight="1" x14ac:dyDescent="0.25">
      <c r="F686" s="42"/>
      <c r="G686" s="43"/>
    </row>
    <row r="687" spans="6:7" ht="15.75" customHeight="1" x14ac:dyDescent="0.25">
      <c r="F687" s="42"/>
      <c r="G687" s="43"/>
    </row>
    <row r="688" spans="6:7" ht="15.75" customHeight="1" x14ac:dyDescent="0.25">
      <c r="F688" s="42"/>
      <c r="G688" s="43"/>
    </row>
    <row r="689" spans="6:7" ht="15.75" customHeight="1" x14ac:dyDescent="0.25">
      <c r="F689" s="42"/>
      <c r="G689" s="43"/>
    </row>
    <row r="690" spans="6:7" ht="15.75" customHeight="1" x14ac:dyDescent="0.25">
      <c r="F690" s="42"/>
      <c r="G690" s="43"/>
    </row>
    <row r="691" spans="6:7" ht="15.75" customHeight="1" x14ac:dyDescent="0.25">
      <c r="F691" s="42"/>
      <c r="G691" s="43"/>
    </row>
    <row r="692" spans="6:7" ht="15.75" customHeight="1" x14ac:dyDescent="0.25">
      <c r="F692" s="42"/>
      <c r="G692" s="43"/>
    </row>
    <row r="693" spans="6:7" ht="15.75" customHeight="1" x14ac:dyDescent="0.25">
      <c r="F693" s="42"/>
      <c r="G693" s="43"/>
    </row>
    <row r="694" spans="6:7" ht="15.75" customHeight="1" x14ac:dyDescent="0.25">
      <c r="F694" s="42"/>
      <c r="G694" s="43"/>
    </row>
    <row r="695" spans="6:7" ht="15.75" customHeight="1" x14ac:dyDescent="0.25">
      <c r="F695" s="42"/>
      <c r="G695" s="43"/>
    </row>
    <row r="696" spans="6:7" ht="15.75" customHeight="1" x14ac:dyDescent="0.25">
      <c r="F696" s="42"/>
      <c r="G696" s="43"/>
    </row>
    <row r="697" spans="6:7" ht="15.75" customHeight="1" x14ac:dyDescent="0.25">
      <c r="F697" s="42"/>
      <c r="G697" s="43"/>
    </row>
    <row r="698" spans="6:7" ht="15.75" customHeight="1" x14ac:dyDescent="0.25">
      <c r="F698" s="42"/>
      <c r="G698" s="43"/>
    </row>
    <row r="699" spans="6:7" ht="15.75" customHeight="1" x14ac:dyDescent="0.25">
      <c r="F699" s="42"/>
      <c r="G699" s="43"/>
    </row>
    <row r="700" spans="6:7" ht="15.75" customHeight="1" x14ac:dyDescent="0.25">
      <c r="F700" s="42"/>
      <c r="G700" s="43"/>
    </row>
    <row r="701" spans="6:7" ht="15.75" customHeight="1" x14ac:dyDescent="0.25">
      <c r="F701" s="42"/>
      <c r="G701" s="43"/>
    </row>
    <row r="702" spans="6:7" ht="15.75" customHeight="1" x14ac:dyDescent="0.25">
      <c r="F702" s="42"/>
      <c r="G702" s="43"/>
    </row>
    <row r="703" spans="6:7" ht="15.75" customHeight="1" x14ac:dyDescent="0.25">
      <c r="F703" s="42"/>
      <c r="G703" s="43"/>
    </row>
    <row r="704" spans="6:7" ht="15.75" customHeight="1" x14ac:dyDescent="0.25">
      <c r="F704" s="42"/>
      <c r="G704" s="43"/>
    </row>
    <row r="705" spans="6:7" ht="15.75" customHeight="1" x14ac:dyDescent="0.25">
      <c r="F705" s="42"/>
      <c r="G705" s="43"/>
    </row>
    <row r="706" spans="6:7" ht="15.75" customHeight="1" x14ac:dyDescent="0.25">
      <c r="F706" s="42"/>
      <c r="G706" s="43"/>
    </row>
    <row r="707" spans="6:7" ht="15.75" customHeight="1" x14ac:dyDescent="0.25">
      <c r="F707" s="42"/>
      <c r="G707" s="43"/>
    </row>
    <row r="708" spans="6:7" ht="15.75" customHeight="1" x14ac:dyDescent="0.25">
      <c r="F708" s="42"/>
      <c r="G708" s="43"/>
    </row>
    <row r="709" spans="6:7" ht="15.75" customHeight="1" x14ac:dyDescent="0.25">
      <c r="F709" s="42"/>
      <c r="G709" s="43"/>
    </row>
    <row r="710" spans="6:7" ht="15.75" customHeight="1" x14ac:dyDescent="0.25">
      <c r="F710" s="42"/>
      <c r="G710" s="43"/>
    </row>
    <row r="711" spans="6:7" ht="15.75" customHeight="1" x14ac:dyDescent="0.25">
      <c r="F711" s="42"/>
      <c r="G711" s="43"/>
    </row>
    <row r="712" spans="6:7" ht="15.75" customHeight="1" x14ac:dyDescent="0.25">
      <c r="F712" s="42"/>
      <c r="G712" s="43"/>
    </row>
    <row r="713" spans="6:7" ht="15.75" customHeight="1" x14ac:dyDescent="0.25">
      <c r="F713" s="42"/>
      <c r="G713" s="43"/>
    </row>
    <row r="714" spans="6:7" ht="15.75" customHeight="1" x14ac:dyDescent="0.25">
      <c r="F714" s="42"/>
      <c r="G714" s="43"/>
    </row>
    <row r="715" spans="6:7" ht="15.75" customHeight="1" x14ac:dyDescent="0.25">
      <c r="F715" s="42"/>
      <c r="G715" s="43"/>
    </row>
    <row r="716" spans="6:7" ht="15.75" customHeight="1" x14ac:dyDescent="0.25">
      <c r="F716" s="42"/>
      <c r="G716" s="43"/>
    </row>
    <row r="717" spans="6:7" ht="15.75" customHeight="1" x14ac:dyDescent="0.25">
      <c r="F717" s="42"/>
      <c r="G717" s="43"/>
    </row>
    <row r="718" spans="6:7" ht="15.75" customHeight="1" x14ac:dyDescent="0.25">
      <c r="F718" s="42"/>
      <c r="G718" s="43"/>
    </row>
    <row r="719" spans="6:7" ht="15.75" customHeight="1" x14ac:dyDescent="0.25">
      <c r="F719" s="42"/>
      <c r="G719" s="43"/>
    </row>
    <row r="720" spans="6:7" ht="15.75" customHeight="1" x14ac:dyDescent="0.25">
      <c r="F720" s="42"/>
      <c r="G720" s="43"/>
    </row>
    <row r="721" spans="6:7" ht="15.75" customHeight="1" x14ac:dyDescent="0.25">
      <c r="F721" s="42"/>
      <c r="G721" s="43"/>
    </row>
    <row r="722" spans="6:7" ht="15.75" customHeight="1" x14ac:dyDescent="0.25">
      <c r="F722" s="42"/>
      <c r="G722" s="43"/>
    </row>
    <row r="723" spans="6:7" ht="15.75" customHeight="1" x14ac:dyDescent="0.25">
      <c r="F723" s="42"/>
      <c r="G723" s="43"/>
    </row>
    <row r="724" spans="6:7" ht="15.75" customHeight="1" x14ac:dyDescent="0.25">
      <c r="F724" s="42"/>
      <c r="G724" s="43"/>
    </row>
    <row r="725" spans="6:7" ht="15.75" customHeight="1" x14ac:dyDescent="0.25">
      <c r="F725" s="42"/>
      <c r="G725" s="43"/>
    </row>
    <row r="726" spans="6:7" ht="15.75" customHeight="1" x14ac:dyDescent="0.25">
      <c r="F726" s="42"/>
      <c r="G726" s="43"/>
    </row>
    <row r="727" spans="6:7" ht="15.75" customHeight="1" x14ac:dyDescent="0.25">
      <c r="F727" s="42"/>
      <c r="G727" s="43"/>
    </row>
    <row r="728" spans="6:7" ht="15.75" customHeight="1" x14ac:dyDescent="0.25">
      <c r="F728" s="42"/>
      <c r="G728" s="43"/>
    </row>
    <row r="729" spans="6:7" ht="15.75" customHeight="1" x14ac:dyDescent="0.25">
      <c r="F729" s="42"/>
      <c r="G729" s="43"/>
    </row>
    <row r="730" spans="6:7" ht="15.75" customHeight="1" x14ac:dyDescent="0.25">
      <c r="F730" s="42"/>
      <c r="G730" s="43"/>
    </row>
    <row r="731" spans="6:7" ht="15.75" customHeight="1" x14ac:dyDescent="0.25">
      <c r="F731" s="42"/>
      <c r="G731" s="43"/>
    </row>
    <row r="732" spans="6:7" ht="15.75" customHeight="1" x14ac:dyDescent="0.25">
      <c r="F732" s="42"/>
      <c r="G732" s="43"/>
    </row>
    <row r="733" spans="6:7" ht="15.75" customHeight="1" x14ac:dyDescent="0.25">
      <c r="F733" s="42"/>
      <c r="G733" s="43"/>
    </row>
    <row r="734" spans="6:7" ht="15.75" customHeight="1" x14ac:dyDescent="0.25">
      <c r="F734" s="42"/>
      <c r="G734" s="43"/>
    </row>
    <row r="735" spans="6:7" ht="15.75" customHeight="1" x14ac:dyDescent="0.25">
      <c r="F735" s="42"/>
      <c r="G735" s="43"/>
    </row>
    <row r="736" spans="6:7" ht="15.75" customHeight="1" x14ac:dyDescent="0.25">
      <c r="F736" s="42"/>
      <c r="G736" s="43"/>
    </row>
    <row r="737" spans="6:7" ht="15.75" customHeight="1" x14ac:dyDescent="0.25">
      <c r="F737" s="42"/>
      <c r="G737" s="43"/>
    </row>
    <row r="738" spans="6:7" ht="15.75" customHeight="1" x14ac:dyDescent="0.25">
      <c r="F738" s="42"/>
      <c r="G738" s="43"/>
    </row>
    <row r="739" spans="6:7" ht="15.75" customHeight="1" x14ac:dyDescent="0.25">
      <c r="F739" s="42"/>
      <c r="G739" s="43"/>
    </row>
    <row r="740" spans="6:7" ht="15.75" customHeight="1" x14ac:dyDescent="0.25">
      <c r="F740" s="42"/>
      <c r="G740" s="43"/>
    </row>
    <row r="741" spans="6:7" ht="15.75" customHeight="1" x14ac:dyDescent="0.25">
      <c r="F741" s="42"/>
      <c r="G741" s="43"/>
    </row>
    <row r="742" spans="6:7" ht="15.75" customHeight="1" x14ac:dyDescent="0.25">
      <c r="F742" s="42"/>
      <c r="G742" s="43"/>
    </row>
    <row r="743" spans="6:7" ht="15.75" customHeight="1" x14ac:dyDescent="0.25">
      <c r="F743" s="42"/>
      <c r="G743" s="43"/>
    </row>
    <row r="744" spans="6:7" ht="15.75" customHeight="1" x14ac:dyDescent="0.25">
      <c r="F744" s="42"/>
      <c r="G744" s="43"/>
    </row>
    <row r="745" spans="6:7" ht="15.75" customHeight="1" x14ac:dyDescent="0.25">
      <c r="F745" s="42"/>
      <c r="G745" s="43"/>
    </row>
    <row r="746" spans="6:7" ht="15.75" customHeight="1" x14ac:dyDescent="0.25">
      <c r="F746" s="42"/>
      <c r="G746" s="43"/>
    </row>
    <row r="747" spans="6:7" ht="15.75" customHeight="1" x14ac:dyDescent="0.25">
      <c r="F747" s="42"/>
      <c r="G747" s="43"/>
    </row>
    <row r="748" spans="6:7" ht="15.75" customHeight="1" x14ac:dyDescent="0.25">
      <c r="F748" s="42"/>
      <c r="G748" s="43"/>
    </row>
    <row r="749" spans="6:7" ht="15.75" customHeight="1" x14ac:dyDescent="0.25">
      <c r="F749" s="42"/>
      <c r="G749" s="43"/>
    </row>
    <row r="750" spans="6:7" ht="15.75" customHeight="1" x14ac:dyDescent="0.25">
      <c r="F750" s="42"/>
      <c r="G750" s="43"/>
    </row>
    <row r="751" spans="6:7" ht="15.75" customHeight="1" x14ac:dyDescent="0.25">
      <c r="F751" s="42"/>
      <c r="G751" s="43"/>
    </row>
    <row r="752" spans="6:7" ht="15.75" customHeight="1" x14ac:dyDescent="0.25">
      <c r="F752" s="42"/>
      <c r="G752" s="43"/>
    </row>
    <row r="753" spans="6:7" ht="15.75" customHeight="1" x14ac:dyDescent="0.25">
      <c r="F753" s="42"/>
      <c r="G753" s="43"/>
    </row>
    <row r="754" spans="6:7" ht="15.75" customHeight="1" x14ac:dyDescent="0.25">
      <c r="F754" s="42"/>
      <c r="G754" s="43"/>
    </row>
    <row r="755" spans="6:7" ht="15.75" customHeight="1" x14ac:dyDescent="0.25">
      <c r="F755" s="42"/>
      <c r="G755" s="43"/>
    </row>
    <row r="756" spans="6:7" ht="15.75" customHeight="1" x14ac:dyDescent="0.25">
      <c r="F756" s="42"/>
      <c r="G756" s="43"/>
    </row>
    <row r="757" spans="6:7" ht="15.75" customHeight="1" x14ac:dyDescent="0.25">
      <c r="F757" s="42"/>
      <c r="G757" s="43"/>
    </row>
    <row r="758" spans="6:7" ht="15.75" customHeight="1" x14ac:dyDescent="0.25">
      <c r="F758" s="42"/>
      <c r="G758" s="43"/>
    </row>
    <row r="759" spans="6:7" ht="15.75" customHeight="1" x14ac:dyDescent="0.25">
      <c r="F759" s="42"/>
      <c r="G759" s="43"/>
    </row>
    <row r="760" spans="6:7" ht="15.75" customHeight="1" x14ac:dyDescent="0.25">
      <c r="F760" s="42"/>
      <c r="G760" s="43"/>
    </row>
    <row r="761" spans="6:7" ht="15.75" customHeight="1" x14ac:dyDescent="0.25">
      <c r="F761" s="42"/>
      <c r="G761" s="43"/>
    </row>
    <row r="762" spans="6:7" ht="15.75" customHeight="1" x14ac:dyDescent="0.25">
      <c r="F762" s="42"/>
      <c r="G762" s="43"/>
    </row>
    <row r="763" spans="6:7" ht="15.75" customHeight="1" x14ac:dyDescent="0.25">
      <c r="F763" s="42"/>
      <c r="G763" s="43"/>
    </row>
    <row r="764" spans="6:7" ht="15.75" customHeight="1" x14ac:dyDescent="0.25">
      <c r="F764" s="42"/>
      <c r="G764" s="43"/>
    </row>
    <row r="765" spans="6:7" ht="15.75" customHeight="1" x14ac:dyDescent="0.25">
      <c r="F765" s="42"/>
      <c r="G765" s="43"/>
    </row>
    <row r="766" spans="6:7" ht="15.75" customHeight="1" x14ac:dyDescent="0.25">
      <c r="F766" s="42"/>
      <c r="G766" s="43"/>
    </row>
    <row r="767" spans="6:7" ht="15.75" customHeight="1" x14ac:dyDescent="0.25">
      <c r="F767" s="42"/>
      <c r="G767" s="43"/>
    </row>
    <row r="768" spans="6:7" ht="15.75" customHeight="1" x14ac:dyDescent="0.25">
      <c r="F768" s="42"/>
      <c r="G768" s="43"/>
    </row>
    <row r="769" spans="6:7" ht="15.75" customHeight="1" x14ac:dyDescent="0.25">
      <c r="F769" s="42"/>
      <c r="G769" s="43"/>
    </row>
    <row r="770" spans="6:7" ht="15.75" customHeight="1" x14ac:dyDescent="0.25">
      <c r="F770" s="42"/>
      <c r="G770" s="43"/>
    </row>
    <row r="771" spans="6:7" ht="15.75" customHeight="1" x14ac:dyDescent="0.25">
      <c r="F771" s="42"/>
      <c r="G771" s="43"/>
    </row>
    <row r="772" spans="6:7" ht="15.75" customHeight="1" x14ac:dyDescent="0.25">
      <c r="F772" s="42"/>
      <c r="G772" s="43"/>
    </row>
    <row r="773" spans="6:7" ht="15.75" customHeight="1" x14ac:dyDescent="0.25">
      <c r="F773" s="42"/>
      <c r="G773" s="43"/>
    </row>
    <row r="774" spans="6:7" ht="15.75" customHeight="1" x14ac:dyDescent="0.25">
      <c r="F774" s="42"/>
      <c r="G774" s="43"/>
    </row>
    <row r="775" spans="6:7" ht="15.75" customHeight="1" x14ac:dyDescent="0.25">
      <c r="F775" s="42"/>
      <c r="G775" s="43"/>
    </row>
    <row r="776" spans="6:7" ht="15.75" customHeight="1" x14ac:dyDescent="0.25">
      <c r="F776" s="42"/>
      <c r="G776" s="43"/>
    </row>
    <row r="777" spans="6:7" ht="15.75" customHeight="1" x14ac:dyDescent="0.25">
      <c r="F777" s="42"/>
      <c r="G777" s="43"/>
    </row>
    <row r="778" spans="6:7" ht="15.75" customHeight="1" x14ac:dyDescent="0.25">
      <c r="F778" s="42"/>
      <c r="G778" s="43"/>
    </row>
    <row r="779" spans="6:7" ht="15.75" customHeight="1" x14ac:dyDescent="0.25">
      <c r="F779" s="42"/>
      <c r="G779" s="43"/>
    </row>
    <row r="780" spans="6:7" ht="15.75" customHeight="1" x14ac:dyDescent="0.25">
      <c r="F780" s="42"/>
      <c r="G780" s="43"/>
    </row>
    <row r="781" spans="6:7" ht="15.75" customHeight="1" x14ac:dyDescent="0.25">
      <c r="F781" s="42"/>
      <c r="G781" s="43"/>
    </row>
    <row r="782" spans="6:7" ht="15.75" customHeight="1" x14ac:dyDescent="0.25">
      <c r="F782" s="42"/>
      <c r="G782" s="43"/>
    </row>
    <row r="783" spans="6:7" ht="15.75" customHeight="1" x14ac:dyDescent="0.25">
      <c r="F783" s="42"/>
      <c r="G783" s="43"/>
    </row>
    <row r="784" spans="6:7" ht="15.75" customHeight="1" x14ac:dyDescent="0.25">
      <c r="F784" s="42"/>
      <c r="G784" s="43"/>
    </row>
    <row r="785" spans="6:7" ht="15.75" customHeight="1" x14ac:dyDescent="0.25">
      <c r="F785" s="42"/>
      <c r="G785" s="43"/>
    </row>
    <row r="786" spans="6:7" ht="15.75" customHeight="1" x14ac:dyDescent="0.25">
      <c r="F786" s="42"/>
      <c r="G786" s="43"/>
    </row>
    <row r="787" spans="6:7" ht="15.75" customHeight="1" x14ac:dyDescent="0.25">
      <c r="F787" s="42"/>
      <c r="G787" s="43"/>
    </row>
    <row r="788" spans="6:7" ht="15.75" customHeight="1" x14ac:dyDescent="0.25">
      <c r="F788" s="42"/>
      <c r="G788" s="43"/>
    </row>
    <row r="789" spans="6:7" ht="15.75" customHeight="1" x14ac:dyDescent="0.25">
      <c r="F789" s="42"/>
      <c r="G789" s="43"/>
    </row>
    <row r="790" spans="6:7" ht="15.75" customHeight="1" x14ac:dyDescent="0.25">
      <c r="F790" s="42"/>
      <c r="G790" s="43"/>
    </row>
    <row r="791" spans="6:7" ht="15.75" customHeight="1" x14ac:dyDescent="0.25">
      <c r="F791" s="42"/>
      <c r="G791" s="43"/>
    </row>
    <row r="792" spans="6:7" ht="15.75" customHeight="1" x14ac:dyDescent="0.25">
      <c r="F792" s="42"/>
      <c r="G792" s="43"/>
    </row>
    <row r="793" spans="6:7" ht="15.75" customHeight="1" x14ac:dyDescent="0.25">
      <c r="F793" s="42"/>
      <c r="G793" s="43"/>
    </row>
    <row r="794" spans="6:7" ht="15.75" customHeight="1" x14ac:dyDescent="0.25">
      <c r="F794" s="42"/>
      <c r="G794" s="43"/>
    </row>
    <row r="795" spans="6:7" ht="15.75" customHeight="1" x14ac:dyDescent="0.25">
      <c r="F795" s="42"/>
      <c r="G795" s="43"/>
    </row>
    <row r="796" spans="6:7" ht="15.75" customHeight="1" x14ac:dyDescent="0.25">
      <c r="F796" s="42"/>
      <c r="G796" s="43"/>
    </row>
    <row r="797" spans="6:7" ht="15.75" customHeight="1" x14ac:dyDescent="0.25">
      <c r="F797" s="42"/>
      <c r="G797" s="43"/>
    </row>
    <row r="798" spans="6:7" ht="15.75" customHeight="1" x14ac:dyDescent="0.25">
      <c r="F798" s="42"/>
      <c r="G798" s="43"/>
    </row>
    <row r="799" spans="6:7" ht="15.75" customHeight="1" x14ac:dyDescent="0.25">
      <c r="F799" s="42"/>
      <c r="G799" s="43"/>
    </row>
    <row r="800" spans="6:7" ht="15.75" customHeight="1" x14ac:dyDescent="0.25">
      <c r="F800" s="42"/>
      <c r="G800" s="43"/>
    </row>
    <row r="801" spans="6:7" ht="15.75" customHeight="1" x14ac:dyDescent="0.25">
      <c r="F801" s="42"/>
      <c r="G801" s="43"/>
    </row>
    <row r="802" spans="6:7" ht="15.75" customHeight="1" x14ac:dyDescent="0.25">
      <c r="F802" s="42"/>
      <c r="G802" s="43"/>
    </row>
    <row r="803" spans="6:7" ht="15.75" customHeight="1" x14ac:dyDescent="0.25">
      <c r="F803" s="42"/>
      <c r="G803" s="43"/>
    </row>
    <row r="804" spans="6:7" ht="15.75" customHeight="1" x14ac:dyDescent="0.25">
      <c r="F804" s="42"/>
      <c r="G804" s="43"/>
    </row>
    <row r="805" spans="6:7" ht="15.75" customHeight="1" x14ac:dyDescent="0.25">
      <c r="F805" s="42"/>
      <c r="G805" s="43"/>
    </row>
    <row r="806" spans="6:7" ht="15.75" customHeight="1" x14ac:dyDescent="0.25">
      <c r="F806" s="42"/>
      <c r="G806" s="43"/>
    </row>
    <row r="807" spans="6:7" ht="15.75" customHeight="1" x14ac:dyDescent="0.25">
      <c r="F807" s="42"/>
      <c r="G807" s="43"/>
    </row>
    <row r="808" spans="6:7" ht="15.75" customHeight="1" x14ac:dyDescent="0.25">
      <c r="F808" s="42"/>
      <c r="G808" s="43"/>
    </row>
    <row r="809" spans="6:7" ht="15.75" customHeight="1" x14ac:dyDescent="0.25">
      <c r="F809" s="42"/>
      <c r="G809" s="43"/>
    </row>
    <row r="810" spans="6:7" ht="15.75" customHeight="1" x14ac:dyDescent="0.25">
      <c r="F810" s="42"/>
      <c r="G810" s="43"/>
    </row>
    <row r="811" spans="6:7" ht="15.75" customHeight="1" x14ac:dyDescent="0.25">
      <c r="F811" s="42"/>
      <c r="G811" s="43"/>
    </row>
    <row r="812" spans="6:7" ht="15.75" customHeight="1" x14ac:dyDescent="0.25">
      <c r="F812" s="42"/>
      <c r="G812" s="43"/>
    </row>
    <row r="813" spans="6:7" ht="15.75" customHeight="1" x14ac:dyDescent="0.25">
      <c r="F813" s="42"/>
      <c r="G813" s="43"/>
    </row>
    <row r="814" spans="6:7" ht="15.75" customHeight="1" x14ac:dyDescent="0.25">
      <c r="F814" s="42"/>
      <c r="G814" s="43"/>
    </row>
    <row r="815" spans="6:7" ht="15.75" customHeight="1" x14ac:dyDescent="0.25">
      <c r="F815" s="42"/>
      <c r="G815" s="43"/>
    </row>
    <row r="816" spans="6:7" ht="15.75" customHeight="1" x14ac:dyDescent="0.25">
      <c r="F816" s="42"/>
      <c r="G816" s="43"/>
    </row>
    <row r="817" spans="6:7" ht="15.75" customHeight="1" x14ac:dyDescent="0.25">
      <c r="F817" s="42"/>
      <c r="G817" s="43"/>
    </row>
    <row r="818" spans="6:7" ht="15.75" customHeight="1" x14ac:dyDescent="0.25">
      <c r="F818" s="42"/>
      <c r="G818" s="43"/>
    </row>
    <row r="819" spans="6:7" ht="15.75" customHeight="1" x14ac:dyDescent="0.25">
      <c r="F819" s="42"/>
      <c r="G819" s="43"/>
    </row>
    <row r="820" spans="6:7" ht="15.75" customHeight="1" x14ac:dyDescent="0.25">
      <c r="F820" s="42"/>
      <c r="G820" s="43"/>
    </row>
    <row r="821" spans="6:7" ht="15.75" customHeight="1" x14ac:dyDescent="0.25">
      <c r="F821" s="42"/>
      <c r="G821" s="43"/>
    </row>
    <row r="822" spans="6:7" ht="15.75" customHeight="1" x14ac:dyDescent="0.25">
      <c r="F822" s="42"/>
      <c r="G822" s="43"/>
    </row>
    <row r="823" spans="6:7" ht="15.75" customHeight="1" x14ac:dyDescent="0.25">
      <c r="F823" s="42"/>
      <c r="G823" s="43"/>
    </row>
    <row r="824" spans="6:7" ht="15.75" customHeight="1" x14ac:dyDescent="0.25">
      <c r="F824" s="42"/>
      <c r="G824" s="43"/>
    </row>
    <row r="825" spans="6:7" ht="15.75" customHeight="1" x14ac:dyDescent="0.25">
      <c r="F825" s="42"/>
      <c r="G825" s="43"/>
    </row>
    <row r="826" spans="6:7" ht="15.75" customHeight="1" x14ac:dyDescent="0.25">
      <c r="F826" s="42"/>
      <c r="G826" s="43"/>
    </row>
    <row r="827" spans="6:7" ht="15.75" customHeight="1" x14ac:dyDescent="0.25">
      <c r="F827" s="42"/>
      <c r="G827" s="43"/>
    </row>
    <row r="828" spans="6:7" ht="15.75" customHeight="1" x14ac:dyDescent="0.25">
      <c r="F828" s="42"/>
      <c r="G828" s="43"/>
    </row>
    <row r="829" spans="6:7" ht="15.75" customHeight="1" x14ac:dyDescent="0.25">
      <c r="F829" s="42"/>
      <c r="G829" s="43"/>
    </row>
    <row r="830" spans="6:7" ht="15.75" customHeight="1" x14ac:dyDescent="0.25">
      <c r="F830" s="42"/>
      <c r="G830" s="43"/>
    </row>
    <row r="831" spans="6:7" ht="15.75" customHeight="1" x14ac:dyDescent="0.25">
      <c r="F831" s="42"/>
      <c r="G831" s="43"/>
    </row>
    <row r="832" spans="6:7" ht="15.75" customHeight="1" x14ac:dyDescent="0.25">
      <c r="F832" s="42"/>
      <c r="G832" s="43"/>
    </row>
    <row r="833" spans="6:7" ht="15.75" customHeight="1" x14ac:dyDescent="0.25">
      <c r="F833" s="42"/>
      <c r="G833" s="43"/>
    </row>
    <row r="834" spans="6:7" ht="15.75" customHeight="1" x14ac:dyDescent="0.25">
      <c r="F834" s="42"/>
      <c r="G834" s="43"/>
    </row>
    <row r="835" spans="6:7" ht="15.75" customHeight="1" x14ac:dyDescent="0.25">
      <c r="F835" s="42"/>
      <c r="G835" s="43"/>
    </row>
    <row r="836" spans="6:7" ht="15.75" customHeight="1" x14ac:dyDescent="0.25">
      <c r="F836" s="42"/>
      <c r="G836" s="43"/>
    </row>
    <row r="837" spans="6:7" ht="15.75" customHeight="1" x14ac:dyDescent="0.25">
      <c r="F837" s="42"/>
      <c r="G837" s="43"/>
    </row>
    <row r="838" spans="6:7" ht="15.75" customHeight="1" x14ac:dyDescent="0.25">
      <c r="F838" s="42"/>
      <c r="G838" s="43"/>
    </row>
    <row r="839" spans="6:7" ht="15.75" customHeight="1" x14ac:dyDescent="0.25">
      <c r="F839" s="42"/>
      <c r="G839" s="43"/>
    </row>
    <row r="840" spans="6:7" ht="15.75" customHeight="1" x14ac:dyDescent="0.25">
      <c r="F840" s="42"/>
      <c r="G840" s="43"/>
    </row>
    <row r="841" spans="6:7" ht="15.75" customHeight="1" x14ac:dyDescent="0.25">
      <c r="F841" s="42"/>
      <c r="G841" s="43"/>
    </row>
    <row r="842" spans="6:7" ht="15.75" customHeight="1" x14ac:dyDescent="0.25">
      <c r="F842" s="42"/>
      <c r="G842" s="43"/>
    </row>
    <row r="843" spans="6:7" ht="15.75" customHeight="1" x14ac:dyDescent="0.25">
      <c r="F843" s="42"/>
      <c r="G843" s="43"/>
    </row>
    <row r="844" spans="6:7" ht="15.75" customHeight="1" x14ac:dyDescent="0.25">
      <c r="F844" s="42"/>
      <c r="G844" s="43"/>
    </row>
    <row r="845" spans="6:7" ht="15.75" customHeight="1" x14ac:dyDescent="0.25">
      <c r="F845" s="42"/>
      <c r="G845" s="43"/>
    </row>
    <row r="846" spans="6:7" ht="15.75" customHeight="1" x14ac:dyDescent="0.25">
      <c r="F846" s="42"/>
      <c r="G846" s="43"/>
    </row>
    <row r="847" spans="6:7" ht="15.75" customHeight="1" x14ac:dyDescent="0.25">
      <c r="F847" s="42"/>
      <c r="G847" s="43"/>
    </row>
    <row r="848" spans="6:7" ht="15.75" customHeight="1" x14ac:dyDescent="0.25">
      <c r="F848" s="42"/>
      <c r="G848" s="43"/>
    </row>
    <row r="849" spans="6:7" ht="15.75" customHeight="1" x14ac:dyDescent="0.25">
      <c r="F849" s="42"/>
      <c r="G849" s="43"/>
    </row>
    <row r="850" spans="6:7" ht="15.75" customHeight="1" x14ac:dyDescent="0.25">
      <c r="F850" s="42"/>
      <c r="G850" s="43"/>
    </row>
    <row r="851" spans="6:7" ht="15.75" customHeight="1" x14ac:dyDescent="0.25">
      <c r="F851" s="42"/>
      <c r="G851" s="43"/>
    </row>
    <row r="852" spans="6:7" ht="15.75" customHeight="1" x14ac:dyDescent="0.25">
      <c r="F852" s="42"/>
      <c r="G852" s="43"/>
    </row>
    <row r="853" spans="6:7" ht="15.75" customHeight="1" x14ac:dyDescent="0.25">
      <c r="F853" s="42"/>
      <c r="G853" s="43"/>
    </row>
    <row r="854" spans="6:7" ht="15.75" customHeight="1" x14ac:dyDescent="0.25">
      <c r="F854" s="42"/>
      <c r="G854" s="43"/>
    </row>
    <row r="855" spans="6:7" ht="15.75" customHeight="1" x14ac:dyDescent="0.25">
      <c r="F855" s="42"/>
      <c r="G855" s="43"/>
    </row>
    <row r="856" spans="6:7" ht="15.75" customHeight="1" x14ac:dyDescent="0.25">
      <c r="F856" s="42"/>
      <c r="G856" s="43"/>
    </row>
    <row r="857" spans="6:7" ht="15.75" customHeight="1" x14ac:dyDescent="0.25">
      <c r="F857" s="42"/>
      <c r="G857" s="43"/>
    </row>
    <row r="858" spans="6:7" ht="15.75" customHeight="1" x14ac:dyDescent="0.25">
      <c r="F858" s="42"/>
      <c r="G858" s="43"/>
    </row>
    <row r="859" spans="6:7" ht="15.75" customHeight="1" x14ac:dyDescent="0.25">
      <c r="F859" s="42"/>
      <c r="G859" s="43"/>
    </row>
    <row r="860" spans="6:7" ht="15.75" customHeight="1" x14ac:dyDescent="0.25">
      <c r="F860" s="42"/>
      <c r="G860" s="43"/>
    </row>
    <row r="861" spans="6:7" ht="15.75" customHeight="1" x14ac:dyDescent="0.25">
      <c r="F861" s="42"/>
      <c r="G861" s="43"/>
    </row>
    <row r="862" spans="6:7" ht="15.75" customHeight="1" x14ac:dyDescent="0.25">
      <c r="F862" s="42"/>
      <c r="G862" s="43"/>
    </row>
    <row r="863" spans="6:7" ht="15.75" customHeight="1" x14ac:dyDescent="0.25">
      <c r="F863" s="42"/>
      <c r="G863" s="43"/>
    </row>
    <row r="864" spans="6:7" ht="15.75" customHeight="1" x14ac:dyDescent="0.25">
      <c r="F864" s="42"/>
      <c r="G864" s="43"/>
    </row>
    <row r="865" spans="6:7" ht="15.75" customHeight="1" x14ac:dyDescent="0.25">
      <c r="F865" s="42"/>
      <c r="G865" s="43"/>
    </row>
    <row r="866" spans="6:7" ht="15.75" customHeight="1" x14ac:dyDescent="0.25">
      <c r="F866" s="42"/>
      <c r="G866" s="43"/>
    </row>
    <row r="867" spans="6:7" ht="15.75" customHeight="1" x14ac:dyDescent="0.25">
      <c r="F867" s="42"/>
      <c r="G867" s="43"/>
    </row>
    <row r="868" spans="6:7" ht="15.75" customHeight="1" x14ac:dyDescent="0.25">
      <c r="F868" s="42"/>
      <c r="G868" s="43"/>
    </row>
    <row r="869" spans="6:7" ht="15.75" customHeight="1" x14ac:dyDescent="0.25">
      <c r="F869" s="42"/>
      <c r="G869" s="43"/>
    </row>
    <row r="870" spans="6:7" ht="15.75" customHeight="1" x14ac:dyDescent="0.25">
      <c r="F870" s="42"/>
      <c r="G870" s="43"/>
    </row>
    <row r="871" spans="6:7" ht="15.75" customHeight="1" x14ac:dyDescent="0.25">
      <c r="F871" s="42"/>
      <c r="G871" s="43"/>
    </row>
    <row r="872" spans="6:7" ht="15.75" customHeight="1" x14ac:dyDescent="0.25">
      <c r="F872" s="42"/>
      <c r="G872" s="43"/>
    </row>
    <row r="873" spans="6:7" ht="15.75" customHeight="1" x14ac:dyDescent="0.25">
      <c r="F873" s="42"/>
      <c r="G873" s="43"/>
    </row>
    <row r="874" spans="6:7" ht="15.75" customHeight="1" x14ac:dyDescent="0.25">
      <c r="F874" s="42"/>
      <c r="G874" s="43"/>
    </row>
    <row r="875" spans="6:7" ht="15.75" customHeight="1" x14ac:dyDescent="0.25">
      <c r="F875" s="42"/>
      <c r="G875" s="43"/>
    </row>
    <row r="876" spans="6:7" ht="15.75" customHeight="1" x14ac:dyDescent="0.25">
      <c r="F876" s="42"/>
      <c r="G876" s="43"/>
    </row>
    <row r="877" spans="6:7" ht="15.75" customHeight="1" x14ac:dyDescent="0.25">
      <c r="F877" s="42"/>
      <c r="G877" s="43"/>
    </row>
    <row r="878" spans="6:7" ht="15.75" customHeight="1" x14ac:dyDescent="0.25">
      <c r="F878" s="42"/>
      <c r="G878" s="43"/>
    </row>
    <row r="879" spans="6:7" ht="15.75" customHeight="1" x14ac:dyDescent="0.25">
      <c r="F879" s="42"/>
      <c r="G879" s="43"/>
    </row>
    <row r="880" spans="6:7" ht="15.75" customHeight="1" x14ac:dyDescent="0.25">
      <c r="F880" s="42"/>
      <c r="G880" s="43"/>
    </row>
    <row r="881" spans="6:7" ht="15.75" customHeight="1" x14ac:dyDescent="0.25">
      <c r="F881" s="42"/>
      <c r="G881" s="43"/>
    </row>
    <row r="882" spans="6:7" ht="15.75" customHeight="1" x14ac:dyDescent="0.25">
      <c r="F882" s="42"/>
      <c r="G882" s="43"/>
    </row>
    <row r="883" spans="6:7" ht="15.75" customHeight="1" x14ac:dyDescent="0.25">
      <c r="F883" s="42"/>
      <c r="G883" s="43"/>
    </row>
    <row r="884" spans="6:7" ht="15.75" customHeight="1" x14ac:dyDescent="0.25">
      <c r="F884" s="42"/>
      <c r="G884" s="43"/>
    </row>
    <row r="885" spans="6:7" ht="15.75" customHeight="1" x14ac:dyDescent="0.25">
      <c r="F885" s="42"/>
      <c r="G885" s="43"/>
    </row>
    <row r="886" spans="6:7" ht="15.75" customHeight="1" x14ac:dyDescent="0.25">
      <c r="F886" s="42"/>
      <c r="G886" s="43"/>
    </row>
    <row r="887" spans="6:7" ht="15.75" customHeight="1" x14ac:dyDescent="0.25">
      <c r="F887" s="42"/>
      <c r="G887" s="43"/>
    </row>
    <row r="888" spans="6:7" ht="15.75" customHeight="1" x14ac:dyDescent="0.25">
      <c r="F888" s="42"/>
      <c r="G888" s="43"/>
    </row>
    <row r="889" spans="6:7" ht="15.75" customHeight="1" x14ac:dyDescent="0.25">
      <c r="F889" s="42"/>
      <c r="G889" s="43"/>
    </row>
    <row r="890" spans="6:7" ht="15.75" customHeight="1" x14ac:dyDescent="0.25">
      <c r="F890" s="42"/>
      <c r="G890" s="43"/>
    </row>
    <row r="891" spans="6:7" ht="15.75" customHeight="1" x14ac:dyDescent="0.25">
      <c r="F891" s="42"/>
      <c r="G891" s="43"/>
    </row>
    <row r="892" spans="6:7" ht="15.75" customHeight="1" x14ac:dyDescent="0.25">
      <c r="F892" s="42"/>
      <c r="G892" s="43"/>
    </row>
    <row r="893" spans="6:7" ht="15.75" customHeight="1" x14ac:dyDescent="0.25">
      <c r="F893" s="42"/>
      <c r="G893" s="43"/>
    </row>
    <row r="894" spans="6:7" ht="15.75" customHeight="1" x14ac:dyDescent="0.25">
      <c r="F894" s="42"/>
      <c r="G894" s="43"/>
    </row>
    <row r="895" spans="6:7" ht="15.75" customHeight="1" x14ac:dyDescent="0.25">
      <c r="F895" s="42"/>
      <c r="G895" s="43"/>
    </row>
    <row r="896" spans="6:7" ht="15.75" customHeight="1" x14ac:dyDescent="0.25">
      <c r="F896" s="42"/>
      <c r="G896" s="43"/>
    </row>
    <row r="897" spans="6:7" ht="15.75" customHeight="1" x14ac:dyDescent="0.25">
      <c r="F897" s="42"/>
      <c r="G897" s="43"/>
    </row>
    <row r="898" spans="6:7" ht="15.75" customHeight="1" x14ac:dyDescent="0.25">
      <c r="F898" s="42"/>
      <c r="G898" s="43"/>
    </row>
    <row r="899" spans="6:7" ht="15.75" customHeight="1" x14ac:dyDescent="0.25">
      <c r="F899" s="42"/>
      <c r="G899" s="43"/>
    </row>
    <row r="900" spans="6:7" ht="15.75" customHeight="1" x14ac:dyDescent="0.25">
      <c r="F900" s="42"/>
      <c r="G900" s="43"/>
    </row>
    <row r="901" spans="6:7" ht="15.75" customHeight="1" x14ac:dyDescent="0.25">
      <c r="F901" s="42"/>
      <c r="G901" s="43"/>
    </row>
    <row r="902" spans="6:7" ht="15.75" customHeight="1" x14ac:dyDescent="0.25">
      <c r="F902" s="42"/>
      <c r="G902" s="43"/>
    </row>
    <row r="903" spans="6:7" ht="15.75" customHeight="1" x14ac:dyDescent="0.25">
      <c r="F903" s="42"/>
      <c r="G903" s="43"/>
    </row>
    <row r="904" spans="6:7" ht="15.75" customHeight="1" x14ac:dyDescent="0.25">
      <c r="F904" s="42"/>
      <c r="G904" s="43"/>
    </row>
    <row r="905" spans="6:7" ht="15.75" customHeight="1" x14ac:dyDescent="0.25">
      <c r="F905" s="42"/>
      <c r="G905" s="43"/>
    </row>
    <row r="906" spans="6:7" ht="15.75" customHeight="1" x14ac:dyDescent="0.25">
      <c r="F906" s="42"/>
      <c r="G906" s="43"/>
    </row>
    <row r="907" spans="6:7" ht="15.75" customHeight="1" x14ac:dyDescent="0.25">
      <c r="F907" s="42"/>
      <c r="G907" s="43"/>
    </row>
    <row r="908" spans="6:7" ht="15.75" customHeight="1" x14ac:dyDescent="0.25">
      <c r="F908" s="42"/>
      <c r="G908" s="43"/>
    </row>
    <row r="909" spans="6:7" ht="15.75" customHeight="1" x14ac:dyDescent="0.25">
      <c r="F909" s="42"/>
      <c r="G909" s="43"/>
    </row>
    <row r="910" spans="6:7" ht="15.75" customHeight="1" x14ac:dyDescent="0.25">
      <c r="F910" s="42"/>
      <c r="G910" s="43"/>
    </row>
    <row r="911" spans="6:7" ht="15.75" customHeight="1" x14ac:dyDescent="0.25">
      <c r="F911" s="42"/>
      <c r="G911" s="43"/>
    </row>
    <row r="912" spans="6:7" ht="15.75" customHeight="1" x14ac:dyDescent="0.25">
      <c r="F912" s="42"/>
      <c r="G912" s="43"/>
    </row>
    <row r="913" spans="6:7" ht="15.75" customHeight="1" x14ac:dyDescent="0.25">
      <c r="F913" s="42"/>
      <c r="G913" s="43"/>
    </row>
    <row r="914" spans="6:7" ht="15.75" customHeight="1" x14ac:dyDescent="0.25">
      <c r="F914" s="42"/>
      <c r="G914" s="43"/>
    </row>
    <row r="915" spans="6:7" ht="15.75" customHeight="1" x14ac:dyDescent="0.25">
      <c r="F915" s="42"/>
      <c r="G915" s="43"/>
    </row>
    <row r="916" spans="6:7" ht="15.75" customHeight="1" x14ac:dyDescent="0.25">
      <c r="F916" s="42"/>
      <c r="G916" s="43"/>
    </row>
    <row r="917" spans="6:7" ht="15.75" customHeight="1" x14ac:dyDescent="0.25">
      <c r="F917" s="42"/>
      <c r="G917" s="43"/>
    </row>
    <row r="918" spans="6:7" ht="15.75" customHeight="1" x14ac:dyDescent="0.25">
      <c r="F918" s="42"/>
      <c r="G918" s="43"/>
    </row>
    <row r="919" spans="6:7" ht="15.75" customHeight="1" x14ac:dyDescent="0.25">
      <c r="F919" s="42"/>
      <c r="G919" s="43"/>
    </row>
    <row r="920" spans="6:7" ht="15.75" customHeight="1" x14ac:dyDescent="0.25">
      <c r="F920" s="42"/>
      <c r="G920" s="43"/>
    </row>
    <row r="921" spans="6:7" ht="15.75" customHeight="1" x14ac:dyDescent="0.25">
      <c r="F921" s="42"/>
      <c r="G921" s="43"/>
    </row>
    <row r="922" spans="6:7" ht="15.75" customHeight="1" x14ac:dyDescent="0.25">
      <c r="F922" s="42"/>
      <c r="G922" s="43"/>
    </row>
    <row r="923" spans="6:7" ht="15.75" customHeight="1" x14ac:dyDescent="0.25">
      <c r="F923" s="42"/>
      <c r="G923" s="43"/>
    </row>
    <row r="924" spans="6:7" ht="15.75" customHeight="1" x14ac:dyDescent="0.25">
      <c r="F924" s="42"/>
      <c r="G924" s="43"/>
    </row>
    <row r="925" spans="6:7" ht="15.75" customHeight="1" x14ac:dyDescent="0.25">
      <c r="F925" s="42"/>
      <c r="G925" s="43"/>
    </row>
    <row r="926" spans="6:7" ht="15.75" customHeight="1" x14ac:dyDescent="0.25">
      <c r="F926" s="42"/>
      <c r="G926" s="43"/>
    </row>
    <row r="927" spans="6:7" ht="15.75" customHeight="1" x14ac:dyDescent="0.25">
      <c r="F927" s="42"/>
      <c r="G927" s="43"/>
    </row>
    <row r="928" spans="6:7" ht="15.75" customHeight="1" x14ac:dyDescent="0.25">
      <c r="F928" s="42"/>
      <c r="G928" s="43"/>
    </row>
    <row r="929" spans="6:7" ht="15.75" customHeight="1" x14ac:dyDescent="0.25">
      <c r="F929" s="42"/>
      <c r="G929" s="43"/>
    </row>
    <row r="930" spans="6:7" ht="15.75" customHeight="1" x14ac:dyDescent="0.25">
      <c r="F930" s="42"/>
      <c r="G930" s="43"/>
    </row>
    <row r="931" spans="6:7" ht="15.75" customHeight="1" x14ac:dyDescent="0.25">
      <c r="F931" s="42"/>
      <c r="G931" s="43"/>
    </row>
    <row r="932" spans="6:7" ht="15.75" customHeight="1" x14ac:dyDescent="0.25">
      <c r="F932" s="42"/>
      <c r="G932" s="43"/>
    </row>
    <row r="933" spans="6:7" ht="15.75" customHeight="1" x14ac:dyDescent="0.25">
      <c r="F933" s="42"/>
      <c r="G933" s="43"/>
    </row>
    <row r="934" spans="6:7" ht="15.75" customHeight="1" x14ac:dyDescent="0.25">
      <c r="F934" s="42"/>
      <c r="G934" s="43"/>
    </row>
    <row r="935" spans="6:7" ht="15.75" customHeight="1" x14ac:dyDescent="0.25">
      <c r="F935" s="42"/>
      <c r="G935" s="43"/>
    </row>
    <row r="936" spans="6:7" ht="15.75" customHeight="1" x14ac:dyDescent="0.25">
      <c r="F936" s="42"/>
      <c r="G936" s="43"/>
    </row>
    <row r="937" spans="6:7" ht="15.75" customHeight="1" x14ac:dyDescent="0.25">
      <c r="F937" s="42"/>
      <c r="G937" s="43"/>
    </row>
    <row r="938" spans="6:7" ht="15.75" customHeight="1" x14ac:dyDescent="0.25">
      <c r="F938" s="42"/>
      <c r="G938" s="43"/>
    </row>
    <row r="939" spans="6:7" ht="15.75" customHeight="1" x14ac:dyDescent="0.25">
      <c r="F939" s="42"/>
      <c r="G939" s="43"/>
    </row>
    <row r="940" spans="6:7" ht="15.75" customHeight="1" x14ac:dyDescent="0.25">
      <c r="F940" s="42"/>
      <c r="G940" s="43"/>
    </row>
    <row r="941" spans="6:7" ht="15.75" customHeight="1" x14ac:dyDescent="0.25">
      <c r="F941" s="42"/>
      <c r="G941" s="43"/>
    </row>
    <row r="942" spans="6:7" ht="15.75" customHeight="1" x14ac:dyDescent="0.25">
      <c r="F942" s="42"/>
      <c r="G942" s="43"/>
    </row>
    <row r="943" spans="6:7" ht="15.75" customHeight="1" x14ac:dyDescent="0.25">
      <c r="F943" s="42"/>
      <c r="G943" s="43"/>
    </row>
    <row r="944" spans="6:7" ht="15.75" customHeight="1" x14ac:dyDescent="0.25">
      <c r="F944" s="42"/>
      <c r="G944" s="43"/>
    </row>
    <row r="945" spans="6:7" ht="15.75" customHeight="1" x14ac:dyDescent="0.25">
      <c r="F945" s="42"/>
      <c r="G945" s="43"/>
    </row>
    <row r="946" spans="6:7" ht="15.75" customHeight="1" x14ac:dyDescent="0.25">
      <c r="F946" s="42"/>
      <c r="G946" s="43"/>
    </row>
    <row r="947" spans="6:7" ht="15.75" customHeight="1" x14ac:dyDescent="0.25">
      <c r="F947" s="42"/>
      <c r="G947" s="43"/>
    </row>
    <row r="948" spans="6:7" ht="15.75" customHeight="1" x14ac:dyDescent="0.25">
      <c r="F948" s="42"/>
      <c r="G948" s="43"/>
    </row>
    <row r="949" spans="6:7" ht="15.75" customHeight="1" x14ac:dyDescent="0.25">
      <c r="F949" s="42"/>
      <c r="G949" s="43"/>
    </row>
    <row r="950" spans="6:7" ht="15.75" customHeight="1" x14ac:dyDescent="0.25">
      <c r="F950" s="42"/>
      <c r="G950" s="43"/>
    </row>
    <row r="951" spans="6:7" ht="15.75" customHeight="1" x14ac:dyDescent="0.25">
      <c r="F951" s="42"/>
      <c r="G951" s="43"/>
    </row>
    <row r="952" spans="6:7" ht="15.75" customHeight="1" x14ac:dyDescent="0.25">
      <c r="F952" s="42"/>
      <c r="G952" s="43"/>
    </row>
    <row r="953" spans="6:7" ht="15.75" customHeight="1" x14ac:dyDescent="0.25">
      <c r="F953" s="42"/>
      <c r="G953" s="43"/>
    </row>
    <row r="954" spans="6:7" ht="15.75" customHeight="1" x14ac:dyDescent="0.25">
      <c r="F954" s="42"/>
      <c r="G954" s="43"/>
    </row>
    <row r="955" spans="6:7" ht="15.75" customHeight="1" x14ac:dyDescent="0.25">
      <c r="F955" s="42"/>
      <c r="G955" s="43"/>
    </row>
    <row r="956" spans="6:7" ht="15.75" customHeight="1" x14ac:dyDescent="0.25">
      <c r="F956" s="42"/>
      <c r="G956" s="43"/>
    </row>
    <row r="957" spans="6:7" ht="15.75" customHeight="1" x14ac:dyDescent="0.25">
      <c r="F957" s="42"/>
      <c r="G957" s="43"/>
    </row>
    <row r="958" spans="6:7" ht="15.75" customHeight="1" x14ac:dyDescent="0.25">
      <c r="F958" s="42"/>
      <c r="G958" s="43"/>
    </row>
    <row r="959" spans="6:7" ht="15.75" customHeight="1" x14ac:dyDescent="0.25">
      <c r="F959" s="42"/>
      <c r="G959" s="43"/>
    </row>
    <row r="960" spans="6:7" ht="15.75" customHeight="1" x14ac:dyDescent="0.25">
      <c r="F960" s="42"/>
      <c r="G960" s="43"/>
    </row>
    <row r="961" spans="6:7" ht="15.75" customHeight="1" x14ac:dyDescent="0.25">
      <c r="F961" s="42"/>
      <c r="G961" s="43"/>
    </row>
    <row r="962" spans="6:7" ht="15.75" customHeight="1" x14ac:dyDescent="0.25">
      <c r="F962" s="42"/>
      <c r="G962" s="43"/>
    </row>
    <row r="963" spans="6:7" ht="15.75" customHeight="1" x14ac:dyDescent="0.25">
      <c r="F963" s="42"/>
      <c r="G963" s="43"/>
    </row>
    <row r="964" spans="6:7" ht="15.75" customHeight="1" x14ac:dyDescent="0.25">
      <c r="F964" s="42"/>
      <c r="G964" s="43"/>
    </row>
    <row r="965" spans="6:7" ht="15.75" customHeight="1" x14ac:dyDescent="0.25">
      <c r="F965" s="42"/>
      <c r="G965" s="43"/>
    </row>
    <row r="966" spans="6:7" ht="15.75" customHeight="1" x14ac:dyDescent="0.25">
      <c r="F966" s="42"/>
      <c r="G966" s="43"/>
    </row>
    <row r="967" spans="6:7" ht="15.75" customHeight="1" x14ac:dyDescent="0.25">
      <c r="F967" s="42"/>
      <c r="G967" s="43"/>
    </row>
    <row r="968" spans="6:7" ht="15.75" customHeight="1" x14ac:dyDescent="0.25">
      <c r="F968" s="42"/>
      <c r="G968" s="43"/>
    </row>
    <row r="969" spans="6:7" ht="15.75" customHeight="1" x14ac:dyDescent="0.25">
      <c r="F969" s="42"/>
      <c r="G969" s="43"/>
    </row>
    <row r="970" spans="6:7" ht="15.75" customHeight="1" x14ac:dyDescent="0.25">
      <c r="F970" s="42"/>
      <c r="G970" s="43"/>
    </row>
    <row r="971" spans="6:7" ht="15.75" customHeight="1" x14ac:dyDescent="0.25">
      <c r="F971" s="42"/>
      <c r="G971" s="43"/>
    </row>
    <row r="972" spans="6:7" ht="15.75" customHeight="1" x14ac:dyDescent="0.25">
      <c r="F972" s="42"/>
      <c r="G972" s="43"/>
    </row>
    <row r="973" spans="6:7" ht="15.75" customHeight="1" x14ac:dyDescent="0.25">
      <c r="F973" s="42"/>
      <c r="G973" s="43"/>
    </row>
    <row r="974" spans="6:7" ht="15.75" customHeight="1" x14ac:dyDescent="0.25">
      <c r="F974" s="42"/>
      <c r="G974" s="43"/>
    </row>
    <row r="975" spans="6:7" ht="15.75" customHeight="1" x14ac:dyDescent="0.25">
      <c r="F975" s="42"/>
      <c r="G975" s="43"/>
    </row>
    <row r="976" spans="6:7" ht="15.75" customHeight="1" x14ac:dyDescent="0.25">
      <c r="F976" s="42"/>
      <c r="G976" s="43"/>
    </row>
    <row r="977" spans="6:7" ht="15.75" customHeight="1" x14ac:dyDescent="0.25">
      <c r="F977" s="42"/>
      <c r="G977" s="43"/>
    </row>
    <row r="978" spans="6:7" ht="15.75" customHeight="1" x14ac:dyDescent="0.25">
      <c r="F978" s="42"/>
      <c r="G978" s="43"/>
    </row>
    <row r="979" spans="6:7" ht="15.75" customHeight="1" x14ac:dyDescent="0.25">
      <c r="F979" s="42"/>
      <c r="G979" s="43"/>
    </row>
    <row r="980" spans="6:7" ht="15.75" customHeight="1" x14ac:dyDescent="0.25">
      <c r="F980" s="42"/>
      <c r="G980" s="43"/>
    </row>
    <row r="981" spans="6:7" ht="15.75" customHeight="1" x14ac:dyDescent="0.25">
      <c r="F981" s="42"/>
      <c r="G981" s="43"/>
    </row>
    <row r="982" spans="6:7" ht="15.75" customHeight="1" x14ac:dyDescent="0.25">
      <c r="F982" s="42"/>
      <c r="G982" s="43"/>
    </row>
    <row r="983" spans="6:7" ht="15.75" customHeight="1" x14ac:dyDescent="0.25">
      <c r="F983" s="42"/>
      <c r="G983" s="43"/>
    </row>
    <row r="984" spans="6:7" ht="15.75" customHeight="1" x14ac:dyDescent="0.25">
      <c r="F984" s="42"/>
      <c r="G984" s="43"/>
    </row>
    <row r="985" spans="6:7" ht="15.75" customHeight="1" x14ac:dyDescent="0.25">
      <c r="F985" s="42"/>
      <c r="G985" s="43"/>
    </row>
    <row r="986" spans="6:7" ht="15.75" customHeight="1" x14ac:dyDescent="0.25">
      <c r="F986" s="42"/>
      <c r="G986" s="43"/>
    </row>
    <row r="987" spans="6:7" ht="15.75" customHeight="1" x14ac:dyDescent="0.25">
      <c r="F987" s="42"/>
      <c r="G987" s="43"/>
    </row>
    <row r="988" spans="6:7" ht="15.75" customHeight="1" x14ac:dyDescent="0.25">
      <c r="F988" s="42"/>
      <c r="G988" s="43"/>
    </row>
    <row r="989" spans="6:7" ht="15.75" customHeight="1" x14ac:dyDescent="0.25">
      <c r="F989" s="42"/>
      <c r="G989" s="43"/>
    </row>
    <row r="990" spans="6:7" ht="15.75" customHeight="1" x14ac:dyDescent="0.25">
      <c r="F990" s="42"/>
      <c r="G990" s="43"/>
    </row>
    <row r="991" spans="6:7" ht="15.75" customHeight="1" x14ac:dyDescent="0.25">
      <c r="F991" s="42"/>
      <c r="G991" s="43"/>
    </row>
    <row r="992" spans="6:7" ht="15.75" customHeight="1" x14ac:dyDescent="0.25">
      <c r="F992" s="42"/>
      <c r="G992" s="43"/>
    </row>
    <row r="993" spans="6:7" ht="15.75" customHeight="1" x14ac:dyDescent="0.25">
      <c r="F993" s="42"/>
      <c r="G993" s="43"/>
    </row>
    <row r="994" spans="6:7" ht="15.75" customHeight="1" x14ac:dyDescent="0.25">
      <c r="F994" s="42"/>
      <c r="G994" s="43"/>
    </row>
    <row r="995" spans="6:7" ht="15.75" customHeight="1" x14ac:dyDescent="0.25">
      <c r="F995" s="42"/>
      <c r="G995" s="43"/>
    </row>
    <row r="996" spans="6:7" ht="15.75" customHeight="1" x14ac:dyDescent="0.25">
      <c r="F996" s="42"/>
      <c r="G996" s="43"/>
    </row>
    <row r="997" spans="6:7" ht="15.75" customHeight="1" x14ac:dyDescent="0.25">
      <c r="F997" s="42"/>
      <c r="G997" s="43"/>
    </row>
    <row r="998" spans="6:7" ht="15.75" customHeight="1" x14ac:dyDescent="0.25">
      <c r="F998" s="42"/>
      <c r="G998" s="43"/>
    </row>
    <row r="999" spans="6:7" ht="15.75" customHeight="1" x14ac:dyDescent="0.25">
      <c r="F999" s="42"/>
      <c r="G999" s="43"/>
    </row>
    <row r="1000" spans="6:7" ht="15.75" customHeight="1" x14ac:dyDescent="0.25">
      <c r="F1000" s="42"/>
      <c r="G1000" s="43"/>
    </row>
    <row r="1001" spans="6:7" ht="15.75" customHeight="1" x14ac:dyDescent="0.25">
      <c r="F1001" s="42"/>
      <c r="G1001" s="43"/>
    </row>
    <row r="1002" spans="6:7" ht="15.75" customHeight="1" x14ac:dyDescent="0.25">
      <c r="F1002" s="42"/>
      <c r="G1002" s="43"/>
    </row>
    <row r="1003" spans="6:7" ht="15.75" customHeight="1" x14ac:dyDescent="0.25">
      <c r="F1003" s="42"/>
      <c r="G1003" s="43"/>
    </row>
    <row r="1004" spans="6:7" ht="15.75" customHeight="1" x14ac:dyDescent="0.25">
      <c r="F1004" s="42"/>
      <c r="G1004" s="43"/>
    </row>
    <row r="1005" spans="6:7" ht="15.75" customHeight="1" x14ac:dyDescent="0.25">
      <c r="F1005" s="42"/>
      <c r="G1005" s="43"/>
    </row>
  </sheetData>
  <mergeCells count="19">
    <mergeCell ref="S58:S60"/>
    <mergeCell ref="S8:S10"/>
    <mergeCell ref="S48:S50"/>
    <mergeCell ref="S23:S25"/>
    <mergeCell ref="S51:S52"/>
    <mergeCell ref="S53:S55"/>
    <mergeCell ref="S38:S40"/>
    <mergeCell ref="S56:S57"/>
    <mergeCell ref="S11:S12"/>
    <mergeCell ref="S33:S35"/>
    <mergeCell ref="S18:S20"/>
    <mergeCell ref="S43:S45"/>
    <mergeCell ref="S3:S4"/>
    <mergeCell ref="S21:S22"/>
    <mergeCell ref="S41:S42"/>
    <mergeCell ref="S28:S30"/>
    <mergeCell ref="S13:S15"/>
    <mergeCell ref="S31:S32"/>
    <mergeCell ref="S5:S6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1005"/>
  <sheetViews>
    <sheetView tabSelected="1" workbookViewId="0">
      <selection activeCell="L8" sqref="L8"/>
    </sheetView>
  </sheetViews>
  <sheetFormatPr defaultColWidth="14.42578125" defaultRowHeight="15" customHeight="1" x14ac:dyDescent="0.25"/>
  <cols>
    <col min="1" max="1" width="7.5703125" customWidth="1"/>
    <col min="2" max="2" width="12.5703125" customWidth="1"/>
    <col min="3" max="3" width="11" customWidth="1"/>
    <col min="4" max="4" width="15.85546875" customWidth="1"/>
    <col min="5" max="8" width="11" customWidth="1"/>
    <col min="9" max="9" width="13.42578125" customWidth="1"/>
    <col min="10" max="10" width="11" customWidth="1"/>
    <col min="11" max="11" width="13.5703125" customWidth="1"/>
    <col min="12" max="12" width="12.5703125" customWidth="1"/>
    <col min="13" max="16" width="11" customWidth="1"/>
    <col min="17" max="17" width="13" customWidth="1"/>
    <col min="18" max="18" width="11.7109375" bestFit="1" customWidth="1"/>
    <col min="19" max="19" width="13.5703125" customWidth="1"/>
    <col min="20" max="20" width="12.5703125" customWidth="1"/>
    <col min="21" max="21" width="14.85546875" customWidth="1"/>
    <col min="22" max="22" width="12.5703125" customWidth="1"/>
    <col min="23" max="23" width="14.85546875" customWidth="1"/>
    <col min="24" max="24" width="14" customWidth="1"/>
    <col min="25" max="25" width="14.140625" customWidth="1"/>
    <col min="26" max="34" width="8.7109375" customWidth="1"/>
  </cols>
  <sheetData>
    <row r="1" spans="1:25" x14ac:dyDescent="0.25">
      <c r="A1" s="1"/>
      <c r="B1" s="2"/>
      <c r="C1" s="3"/>
      <c r="D1" s="11"/>
      <c r="E1" s="11"/>
      <c r="F1" s="13"/>
      <c r="G1" s="13"/>
      <c r="H1" s="3"/>
      <c r="I1" s="3"/>
      <c r="J1" s="3"/>
      <c r="K1" s="3"/>
      <c r="L1" s="3"/>
      <c r="M1" s="3"/>
      <c r="N1" s="3"/>
      <c r="O1" s="3"/>
      <c r="P1" s="3"/>
      <c r="Q1" s="3"/>
      <c r="R1" s="3" t="s">
        <v>36</v>
      </c>
      <c r="S1" s="3"/>
      <c r="T1" s="3"/>
      <c r="U1" s="3"/>
      <c r="V1" s="3"/>
      <c r="W1" s="4"/>
      <c r="X1" s="5"/>
      <c r="Y1" s="6"/>
    </row>
    <row r="2" spans="1:25" ht="45" x14ac:dyDescent="0.25">
      <c r="A2" s="7">
        <v>46056</v>
      </c>
      <c r="B2" s="1"/>
      <c r="C2" s="8" t="s">
        <v>0</v>
      </c>
      <c r="D2" s="14" t="s">
        <v>31</v>
      </c>
      <c r="E2" s="14" t="s">
        <v>32</v>
      </c>
      <c r="F2" s="15" t="s">
        <v>33</v>
      </c>
      <c r="G2" s="15" t="s">
        <v>34</v>
      </c>
      <c r="H2" s="8" t="s">
        <v>3</v>
      </c>
      <c r="I2" s="8" t="s">
        <v>4</v>
      </c>
      <c r="J2" s="8" t="s">
        <v>5</v>
      </c>
      <c r="K2" s="1" t="s">
        <v>6</v>
      </c>
      <c r="L2" s="8" t="s">
        <v>7</v>
      </c>
      <c r="M2" s="1" t="s">
        <v>8</v>
      </c>
      <c r="N2" s="1" t="s">
        <v>25</v>
      </c>
      <c r="O2" s="1" t="s">
        <v>26</v>
      </c>
      <c r="P2" s="1" t="s">
        <v>27</v>
      </c>
      <c r="Q2" s="1" t="s">
        <v>30</v>
      </c>
      <c r="R2" s="1" t="s">
        <v>9</v>
      </c>
      <c r="S2" s="8"/>
      <c r="T2" s="8"/>
      <c r="U2" s="8"/>
      <c r="V2" s="8"/>
      <c r="W2" s="8"/>
      <c r="X2" s="8"/>
      <c r="Y2" s="1"/>
    </row>
    <row r="3" spans="1:25" x14ac:dyDescent="0.25">
      <c r="A3" s="1" t="s">
        <v>10</v>
      </c>
      <c r="B3" s="9"/>
      <c r="C3" s="9">
        <v>739.65</v>
      </c>
      <c r="D3" s="9">
        <v>809879.5</v>
      </c>
      <c r="E3" s="10">
        <v>364743.74</v>
      </c>
      <c r="F3" s="17">
        <v>395095</v>
      </c>
      <c r="G3" s="19">
        <v>286913.06</v>
      </c>
      <c r="H3" s="9">
        <v>69223.759999999995</v>
      </c>
      <c r="I3" s="9">
        <v>81228.179999999993</v>
      </c>
      <c r="J3" s="9">
        <v>216525.5</v>
      </c>
      <c r="K3" s="9">
        <v>0</v>
      </c>
      <c r="L3" s="9">
        <v>0</v>
      </c>
      <c r="M3" s="12">
        <v>81825.289999999994</v>
      </c>
      <c r="N3" s="12">
        <v>11660</v>
      </c>
      <c r="O3" s="12">
        <v>4672.7700000000004</v>
      </c>
      <c r="P3" s="12">
        <v>12996.9</v>
      </c>
      <c r="Q3" s="12">
        <v>52309.15</v>
      </c>
      <c r="R3" s="12">
        <f>C3+D3-E3+F3-G3+H3+I3+J3+K3+L3+M3+N3+O3+P3+Q3</f>
        <v>1084498.9000000001</v>
      </c>
      <c r="S3" s="46">
        <f>R3+R4+R5</f>
        <v>1199432.7100000002</v>
      </c>
      <c r="T3" s="18"/>
      <c r="U3" s="9"/>
      <c r="V3" s="18"/>
      <c r="W3" s="18"/>
      <c r="X3" s="4"/>
      <c r="Y3" s="18"/>
    </row>
    <row r="4" spans="1:25" x14ac:dyDescent="0.25">
      <c r="A4" s="1" t="s">
        <v>11</v>
      </c>
      <c r="B4" s="5"/>
      <c r="C4" s="20">
        <v>67000</v>
      </c>
      <c r="D4" s="1"/>
      <c r="E4" s="1"/>
      <c r="F4" s="23"/>
      <c r="G4" s="24"/>
      <c r="H4" s="1"/>
      <c r="I4" s="8"/>
      <c r="J4" s="5">
        <v>47933.54</v>
      </c>
      <c r="K4" s="8"/>
      <c r="L4" s="8"/>
      <c r="M4" s="12"/>
      <c r="N4" s="12"/>
      <c r="O4" s="12"/>
      <c r="P4" s="12"/>
      <c r="Q4" s="12"/>
      <c r="R4" s="12">
        <f>C4+D4-E4+H4+I4+J4+K4+L4+M4+N4</f>
        <v>114933.54000000001</v>
      </c>
      <c r="S4" s="48"/>
      <c r="T4" s="8"/>
      <c r="U4" s="8"/>
      <c r="V4" s="1"/>
      <c r="W4" s="8"/>
      <c r="X4" s="8"/>
      <c r="Y4" s="1"/>
    </row>
    <row r="5" spans="1:25" ht="15.75" x14ac:dyDescent="0.25">
      <c r="A5" s="1" t="s">
        <v>21</v>
      </c>
      <c r="C5" s="9">
        <v>0.27</v>
      </c>
      <c r="D5" s="9"/>
      <c r="E5" s="9"/>
      <c r="F5" s="27"/>
      <c r="G5" s="28"/>
      <c r="H5" s="9"/>
      <c r="I5" s="9"/>
      <c r="J5" s="9"/>
      <c r="K5" s="9"/>
      <c r="L5" s="9"/>
      <c r="M5" s="9"/>
      <c r="N5" s="12"/>
      <c r="O5" s="12"/>
      <c r="P5" s="12"/>
      <c r="Q5" s="12"/>
      <c r="R5" s="12">
        <f>C5+D5-E5+H5+I5+J5+K5+L5+M5+N5</f>
        <v>0.27</v>
      </c>
      <c r="S5" s="46"/>
      <c r="T5" s="9"/>
      <c r="U5" s="9"/>
      <c r="V5" s="9"/>
      <c r="W5" s="18"/>
      <c r="X5" s="9"/>
      <c r="Y5" s="21"/>
    </row>
    <row r="6" spans="1:25" x14ac:dyDescent="0.25">
      <c r="A6" s="1"/>
      <c r="B6" s="2"/>
      <c r="C6" s="3"/>
      <c r="D6" s="3"/>
      <c r="E6" s="3"/>
      <c r="F6" s="13"/>
      <c r="G6" s="29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8"/>
      <c r="T6" s="3"/>
      <c r="U6" s="3"/>
      <c r="V6" s="3"/>
      <c r="W6" s="4"/>
      <c r="X6" s="5"/>
      <c r="Y6" s="6"/>
    </row>
    <row r="7" spans="1:25" ht="45" x14ac:dyDescent="0.25">
      <c r="A7" s="7">
        <v>45699</v>
      </c>
      <c r="B7" s="1"/>
      <c r="C7" s="8" t="s">
        <v>0</v>
      </c>
      <c r="D7" s="14" t="s">
        <v>31</v>
      </c>
      <c r="E7" s="14" t="s">
        <v>32</v>
      </c>
      <c r="F7" s="15" t="s">
        <v>33</v>
      </c>
      <c r="G7" s="15" t="s">
        <v>34</v>
      </c>
      <c r="H7" s="8" t="s">
        <v>3</v>
      </c>
      <c r="I7" s="8" t="s">
        <v>4</v>
      </c>
      <c r="J7" s="8" t="s">
        <v>5</v>
      </c>
      <c r="K7" s="1" t="s">
        <v>6</v>
      </c>
      <c r="L7" s="8" t="s">
        <v>7</v>
      </c>
      <c r="M7" s="1" t="s">
        <v>8</v>
      </c>
      <c r="N7" s="1" t="s">
        <v>25</v>
      </c>
      <c r="O7" s="1" t="s">
        <v>26</v>
      </c>
      <c r="P7" s="1" t="s">
        <v>27</v>
      </c>
      <c r="Q7" s="1" t="s">
        <v>30</v>
      </c>
      <c r="R7" s="1" t="s">
        <v>9</v>
      </c>
      <c r="S7" s="16"/>
      <c r="T7" s="8"/>
      <c r="U7" s="8"/>
      <c r="V7" s="8"/>
      <c r="W7" s="8"/>
      <c r="X7" s="8"/>
      <c r="Y7" s="1"/>
    </row>
    <row r="8" spans="1:25" x14ac:dyDescent="0.25">
      <c r="A8" s="1" t="s">
        <v>10</v>
      </c>
      <c r="B8" s="9"/>
      <c r="C8" s="9"/>
      <c r="D8" s="9"/>
      <c r="E8" s="10"/>
      <c r="F8" s="17"/>
      <c r="G8" s="19"/>
      <c r="H8" s="9"/>
      <c r="I8" s="9"/>
      <c r="J8" s="9"/>
      <c r="K8" s="9"/>
      <c r="L8" s="9"/>
      <c r="M8" s="12"/>
      <c r="N8" s="12"/>
      <c r="O8" s="12"/>
      <c r="P8" s="12"/>
      <c r="Q8" s="12"/>
      <c r="R8" s="12"/>
      <c r="S8" s="46">
        <f>R8+R9+R10</f>
        <v>0</v>
      </c>
      <c r="T8" s="18"/>
      <c r="U8" s="9"/>
      <c r="V8" s="18"/>
      <c r="W8" s="18"/>
      <c r="X8" s="4"/>
      <c r="Y8" s="18"/>
    </row>
    <row r="9" spans="1:25" x14ac:dyDescent="0.25">
      <c r="A9" s="1" t="s">
        <v>11</v>
      </c>
      <c r="B9" s="5"/>
      <c r="C9" s="20"/>
      <c r="D9" s="1"/>
      <c r="E9" s="1"/>
      <c r="F9" s="23"/>
      <c r="G9" s="24"/>
      <c r="H9" s="1"/>
      <c r="I9" s="8"/>
      <c r="J9" s="5"/>
      <c r="K9" s="8"/>
      <c r="L9" s="8"/>
      <c r="M9" s="12"/>
      <c r="N9" s="12"/>
      <c r="O9" s="12"/>
      <c r="P9" s="12"/>
      <c r="Q9" s="12"/>
      <c r="R9" s="12"/>
      <c r="S9" s="47"/>
      <c r="T9" s="8"/>
      <c r="U9" s="8"/>
      <c r="V9" s="1"/>
      <c r="W9" s="8"/>
      <c r="X9" s="8"/>
      <c r="Y9" s="1"/>
    </row>
    <row r="10" spans="1:25" x14ac:dyDescent="0.25">
      <c r="A10" s="1" t="s">
        <v>21</v>
      </c>
      <c r="B10" s="12"/>
      <c r="C10" s="9"/>
      <c r="D10" s="9"/>
      <c r="E10" s="9"/>
      <c r="F10" s="27"/>
      <c r="G10" s="28"/>
      <c r="H10" s="9"/>
      <c r="I10" s="9"/>
      <c r="J10" s="9"/>
      <c r="K10" s="9"/>
      <c r="L10" s="9"/>
      <c r="M10" s="9"/>
      <c r="N10" s="12"/>
      <c r="O10" s="12"/>
      <c r="P10" s="12"/>
      <c r="Q10" s="12"/>
      <c r="R10" s="12"/>
      <c r="S10" s="48"/>
      <c r="T10" s="9"/>
      <c r="U10" s="9"/>
      <c r="V10" s="9"/>
      <c r="W10" s="18"/>
      <c r="X10" s="9"/>
      <c r="Y10" s="18"/>
    </row>
    <row r="11" spans="1:25" x14ac:dyDescent="0.25">
      <c r="A11" s="7"/>
      <c r="B11" s="2"/>
      <c r="C11" s="8"/>
      <c r="D11" s="8"/>
      <c r="E11" s="8"/>
      <c r="F11" s="13"/>
      <c r="G11" s="29"/>
      <c r="H11" s="8"/>
      <c r="I11" s="8"/>
      <c r="J11" s="8"/>
      <c r="K11" s="1"/>
      <c r="L11" s="8"/>
      <c r="M11" s="1"/>
      <c r="N11" s="1"/>
      <c r="O11" s="1"/>
      <c r="P11" s="1"/>
      <c r="Q11" s="1"/>
      <c r="R11" s="1"/>
      <c r="S11" s="46"/>
      <c r="T11" s="3"/>
      <c r="U11" s="3"/>
      <c r="V11" s="3"/>
      <c r="W11" s="4"/>
      <c r="X11" s="5"/>
      <c r="Y11" s="6"/>
    </row>
    <row r="12" spans="1:25" ht="45" x14ac:dyDescent="0.25">
      <c r="A12" s="7">
        <v>45726</v>
      </c>
      <c r="B12" s="2"/>
      <c r="C12" s="31" t="s">
        <v>0</v>
      </c>
      <c r="D12" s="15" t="s">
        <v>31</v>
      </c>
      <c r="E12" s="15" t="s">
        <v>32</v>
      </c>
      <c r="F12" s="15" t="s">
        <v>33</v>
      </c>
      <c r="G12" s="15" t="s">
        <v>34</v>
      </c>
      <c r="H12" s="31" t="s">
        <v>3</v>
      </c>
      <c r="I12" s="31" t="s">
        <v>4</v>
      </c>
      <c r="J12" s="31" t="s">
        <v>5</v>
      </c>
      <c r="K12" s="32" t="s">
        <v>6</v>
      </c>
      <c r="L12" s="31" t="s">
        <v>7</v>
      </c>
      <c r="M12" s="32" t="s">
        <v>8</v>
      </c>
      <c r="N12" s="32" t="s">
        <v>25</v>
      </c>
      <c r="O12" s="32" t="s">
        <v>26</v>
      </c>
      <c r="P12" s="32" t="s">
        <v>27</v>
      </c>
      <c r="Q12" s="32" t="s">
        <v>30</v>
      </c>
      <c r="R12" s="1" t="s">
        <v>9</v>
      </c>
      <c r="S12" s="48"/>
      <c r="T12" s="3"/>
      <c r="U12" s="3"/>
      <c r="V12" s="3"/>
      <c r="W12" s="4"/>
      <c r="X12" s="5"/>
      <c r="Y12" s="6"/>
    </row>
    <row r="13" spans="1:25" x14ac:dyDescent="0.25">
      <c r="A13" s="1" t="s">
        <v>10</v>
      </c>
      <c r="B13" s="2"/>
      <c r="C13" s="3">
        <v>4275.18</v>
      </c>
      <c r="D13" s="3">
        <v>832752.5</v>
      </c>
      <c r="E13" s="3">
        <v>378729.15</v>
      </c>
      <c r="F13" s="33">
        <v>404633.5</v>
      </c>
      <c r="G13" s="34">
        <v>281005</v>
      </c>
      <c r="H13" s="3">
        <v>56754.86</v>
      </c>
      <c r="I13" s="3">
        <v>54710.54</v>
      </c>
      <c r="J13" s="3">
        <v>157744.56</v>
      </c>
      <c r="K13" s="3">
        <v>0</v>
      </c>
      <c r="L13" s="3">
        <v>0</v>
      </c>
      <c r="M13" s="12">
        <v>64489.919999999998</v>
      </c>
      <c r="N13" s="12">
        <v>11404</v>
      </c>
      <c r="O13" s="12">
        <v>5836</v>
      </c>
      <c r="P13" s="12">
        <v>8740.39</v>
      </c>
      <c r="Q13" s="12">
        <v>50800.83</v>
      </c>
      <c r="R13" s="12">
        <f>C13+D13-E13+F13-G13+H13+I13+J13+K13+L13+M13+N13+O13+P13+Q13</f>
        <v>992408.13</v>
      </c>
      <c r="S13" s="46">
        <f>R13+R14+R15</f>
        <v>1068894.04</v>
      </c>
      <c r="T13" s="3"/>
      <c r="U13" s="3"/>
      <c r="V13" s="3"/>
      <c r="W13" s="4"/>
    </row>
    <row r="14" spans="1:25" x14ac:dyDescent="0.25">
      <c r="A14" s="1" t="s">
        <v>11</v>
      </c>
      <c r="B14" s="2"/>
      <c r="C14" s="3">
        <v>13000</v>
      </c>
      <c r="D14" s="3"/>
      <c r="E14" s="3"/>
      <c r="F14" s="13"/>
      <c r="G14" s="29"/>
      <c r="H14" s="3"/>
      <c r="I14" s="3"/>
      <c r="J14" s="3">
        <v>33306.379999999997</v>
      </c>
      <c r="K14" s="3"/>
      <c r="L14" s="3"/>
      <c r="M14" s="12"/>
      <c r="N14" s="12"/>
      <c r="O14" s="12"/>
      <c r="P14" s="12"/>
      <c r="Q14" s="12"/>
      <c r="R14" s="12">
        <f>C14+D14-E14+H14+I14+J14+K14+L14+M14</f>
        <v>46306.38</v>
      </c>
      <c r="S14" s="47"/>
      <c r="T14" s="3"/>
      <c r="U14" s="3"/>
      <c r="V14" s="3"/>
      <c r="W14" s="4"/>
    </row>
    <row r="15" spans="1:25" x14ac:dyDescent="0.25">
      <c r="A15" s="1" t="s">
        <v>21</v>
      </c>
      <c r="B15" s="12"/>
      <c r="C15" s="9">
        <v>30179.53</v>
      </c>
      <c r="D15" s="9"/>
      <c r="E15" s="9"/>
      <c r="F15" s="27"/>
      <c r="G15" s="28"/>
      <c r="H15" s="9"/>
      <c r="I15" s="9"/>
      <c r="J15" s="9"/>
      <c r="K15" s="9"/>
      <c r="L15" s="9"/>
      <c r="M15" s="12"/>
      <c r="N15" s="12"/>
      <c r="O15" s="12"/>
      <c r="P15" s="12"/>
      <c r="Q15" s="12"/>
      <c r="R15" s="12">
        <f>C15+D15-E15+H15+I15+J15+K15+L15+M15</f>
        <v>30179.53</v>
      </c>
      <c r="S15" s="48"/>
    </row>
    <row r="16" spans="1:25" x14ac:dyDescent="0.25">
      <c r="A16" s="7"/>
      <c r="B16" s="2"/>
      <c r="C16" s="8"/>
      <c r="D16" s="8"/>
      <c r="E16" s="8"/>
      <c r="F16" s="13"/>
      <c r="G16" s="29"/>
      <c r="H16" s="8"/>
      <c r="I16" s="8"/>
      <c r="J16" s="8"/>
      <c r="K16" s="1"/>
      <c r="L16" s="8"/>
      <c r="M16" s="1"/>
      <c r="N16" s="1"/>
      <c r="O16" s="1"/>
      <c r="P16" s="1"/>
      <c r="Q16" s="1"/>
      <c r="R16" s="1"/>
      <c r="S16" s="35"/>
    </row>
    <row r="17" spans="1:22" ht="45" x14ac:dyDescent="0.25">
      <c r="A17" s="7">
        <v>45750</v>
      </c>
      <c r="B17" s="2"/>
      <c r="C17" s="31" t="s">
        <v>0</v>
      </c>
      <c r="D17" s="15" t="s">
        <v>31</v>
      </c>
      <c r="E17" s="15" t="s">
        <v>32</v>
      </c>
      <c r="F17" s="15" t="s">
        <v>33</v>
      </c>
      <c r="G17" s="15" t="s">
        <v>34</v>
      </c>
      <c r="H17" s="31" t="s">
        <v>3</v>
      </c>
      <c r="I17" s="31" t="s">
        <v>4</v>
      </c>
      <c r="J17" s="31" t="s">
        <v>5</v>
      </c>
      <c r="K17" s="32" t="s">
        <v>6</v>
      </c>
      <c r="L17" s="31" t="s">
        <v>7</v>
      </c>
      <c r="M17" s="32" t="s">
        <v>8</v>
      </c>
      <c r="N17" s="32" t="s">
        <v>25</v>
      </c>
      <c r="O17" s="32" t="s">
        <v>26</v>
      </c>
      <c r="P17" s="32" t="s">
        <v>27</v>
      </c>
      <c r="Q17" s="32" t="s">
        <v>30</v>
      </c>
      <c r="R17" s="1" t="s">
        <v>9</v>
      </c>
      <c r="S17" s="16"/>
    </row>
    <row r="18" spans="1:22" x14ac:dyDescent="0.25">
      <c r="A18" s="1" t="s">
        <v>10</v>
      </c>
      <c r="B18" s="2"/>
      <c r="C18" s="3">
        <v>2197.3000000000002</v>
      </c>
      <c r="D18" s="3">
        <v>838391</v>
      </c>
      <c r="E18" s="36">
        <v>377472.25</v>
      </c>
      <c r="F18" s="33">
        <v>404835.5</v>
      </c>
      <c r="G18" s="38">
        <v>280796.45</v>
      </c>
      <c r="H18" s="3">
        <v>57301.17</v>
      </c>
      <c r="I18" s="3">
        <v>56774.02</v>
      </c>
      <c r="J18" s="3">
        <v>162586.15</v>
      </c>
      <c r="K18" s="3">
        <v>0</v>
      </c>
      <c r="L18" s="3">
        <v>0</v>
      </c>
      <c r="M18" s="12">
        <v>63030.75</v>
      </c>
      <c r="N18" s="37">
        <v>11424</v>
      </c>
      <c r="O18" s="37">
        <v>5657.59</v>
      </c>
      <c r="P18" s="37">
        <v>8712.4500000000007</v>
      </c>
      <c r="Q18" s="37">
        <v>50800.83</v>
      </c>
      <c r="R18" s="12">
        <f>C18+D18-E18+F18-G18+H18+I18+J18+K18+L18+M18+N18+O18+P18+Q18</f>
        <v>1003442.06</v>
      </c>
      <c r="S18" s="46">
        <f>R18+R19+R20</f>
        <v>1055139.75</v>
      </c>
    </row>
    <row r="19" spans="1:22" x14ac:dyDescent="0.25">
      <c r="A19" s="1" t="s">
        <v>11</v>
      </c>
      <c r="B19" s="2"/>
      <c r="C19" s="3">
        <v>2981.16</v>
      </c>
      <c r="D19" s="3"/>
      <c r="E19" s="3"/>
      <c r="F19" s="13"/>
      <c r="G19" s="29"/>
      <c r="H19" s="3"/>
      <c r="I19" s="3"/>
      <c r="J19" s="3">
        <v>34536.04</v>
      </c>
      <c r="K19" s="3"/>
      <c r="L19" s="3"/>
      <c r="M19" s="12"/>
      <c r="N19" s="12"/>
      <c r="O19" s="12"/>
      <c r="P19" s="12"/>
      <c r="Q19" s="12"/>
      <c r="R19" s="12">
        <f>C19+D19-E19+H19+I19+J19+K19+L19+M19</f>
        <v>37517.199999999997</v>
      </c>
      <c r="S19" s="47"/>
    </row>
    <row r="20" spans="1:22" x14ac:dyDescent="0.25">
      <c r="A20" s="1" t="s">
        <v>21</v>
      </c>
      <c r="B20" s="12"/>
      <c r="C20" s="9">
        <v>14180.49</v>
      </c>
      <c r="D20" s="9"/>
      <c r="E20" s="9"/>
      <c r="F20" s="27"/>
      <c r="G20" s="28"/>
      <c r="H20" s="9"/>
      <c r="I20" s="9"/>
      <c r="J20" s="9"/>
      <c r="K20" s="9"/>
      <c r="L20" s="9"/>
      <c r="M20" s="12"/>
      <c r="N20" s="12"/>
      <c r="O20" s="12"/>
      <c r="P20" s="12"/>
      <c r="Q20" s="12"/>
      <c r="R20" s="12">
        <f>C20+D20-E20+H20+I20+J20+K20+L20+M20</f>
        <v>14180.49</v>
      </c>
      <c r="S20" s="48"/>
      <c r="U20" s="30" t="s">
        <v>12</v>
      </c>
      <c r="V20" s="30">
        <v>15000</v>
      </c>
    </row>
    <row r="21" spans="1:22" x14ac:dyDescent="0.25">
      <c r="A21" s="7"/>
      <c r="B21" s="2"/>
      <c r="C21" s="8"/>
      <c r="D21" s="8"/>
      <c r="E21" s="8"/>
      <c r="F21" s="13"/>
      <c r="G21" s="29"/>
      <c r="H21" s="8"/>
      <c r="I21" s="8"/>
      <c r="J21" s="8"/>
      <c r="K21" s="1"/>
      <c r="L21" s="8"/>
      <c r="M21" s="1"/>
      <c r="N21" s="1"/>
      <c r="O21" s="1"/>
      <c r="P21" s="1"/>
      <c r="Q21" s="1"/>
      <c r="R21" s="1"/>
      <c r="S21" s="46"/>
      <c r="U21" s="30"/>
      <c r="V21" s="30"/>
    </row>
    <row r="22" spans="1:22" ht="45" x14ac:dyDescent="0.25">
      <c r="A22" s="7">
        <v>45788</v>
      </c>
      <c r="B22" s="2"/>
      <c r="C22" s="31" t="s">
        <v>0</v>
      </c>
      <c r="D22" s="15" t="s">
        <v>31</v>
      </c>
      <c r="E22" s="15" t="s">
        <v>32</v>
      </c>
      <c r="F22" s="15" t="s">
        <v>33</v>
      </c>
      <c r="G22" s="15" t="s">
        <v>34</v>
      </c>
      <c r="H22" s="31" t="s">
        <v>3</v>
      </c>
      <c r="I22" s="31" t="s">
        <v>4</v>
      </c>
      <c r="J22" s="31" t="s">
        <v>5</v>
      </c>
      <c r="K22" s="32" t="s">
        <v>6</v>
      </c>
      <c r="L22" s="31" t="s">
        <v>7</v>
      </c>
      <c r="M22" s="32" t="s">
        <v>8</v>
      </c>
      <c r="N22" s="32" t="s">
        <v>25</v>
      </c>
      <c r="O22" s="32" t="s">
        <v>26</v>
      </c>
      <c r="P22" s="32" t="s">
        <v>27</v>
      </c>
      <c r="Q22" s="32" t="s">
        <v>30</v>
      </c>
      <c r="R22" s="1" t="s">
        <v>9</v>
      </c>
      <c r="S22" s="48"/>
      <c r="U22" s="30" t="s">
        <v>2</v>
      </c>
      <c r="V22" s="30">
        <v>-2600</v>
      </c>
    </row>
    <row r="23" spans="1:22" x14ac:dyDescent="0.25">
      <c r="A23" s="1" t="s">
        <v>10</v>
      </c>
      <c r="B23" s="2"/>
      <c r="C23" s="3">
        <v>7183.9</v>
      </c>
      <c r="D23" s="3">
        <v>847810</v>
      </c>
      <c r="E23" s="3">
        <v>376212.47</v>
      </c>
      <c r="F23" s="33">
        <v>404889.5</v>
      </c>
      <c r="G23" s="34">
        <v>280586.59999999998</v>
      </c>
      <c r="H23" s="3">
        <v>52287.03</v>
      </c>
      <c r="I23" s="3">
        <v>63829.34</v>
      </c>
      <c r="J23" s="3">
        <v>164175</v>
      </c>
      <c r="K23" s="3">
        <v>0</v>
      </c>
      <c r="L23" s="3">
        <v>0</v>
      </c>
      <c r="M23" s="12">
        <v>66040.91</v>
      </c>
      <c r="N23" s="37">
        <v>11440</v>
      </c>
      <c r="O23" s="37">
        <v>4939.46</v>
      </c>
      <c r="P23" s="37">
        <v>8970.6200000000008</v>
      </c>
      <c r="Q23" s="37">
        <v>51110.23</v>
      </c>
      <c r="R23" s="12">
        <f>C23+D23-E23+F23-G23+H23+I23+J23+K23+L23+M23+N23+O23+P23+Q23</f>
        <v>1025876.92</v>
      </c>
      <c r="S23" s="46">
        <f>R23+R24+R25</f>
        <v>1114842.0799999998</v>
      </c>
      <c r="U23" s="30" t="s">
        <v>13</v>
      </c>
      <c r="V23" s="30">
        <v>-349</v>
      </c>
    </row>
    <row r="24" spans="1:22" ht="15.75" customHeight="1" x14ac:dyDescent="0.25">
      <c r="A24" s="1" t="s">
        <v>11</v>
      </c>
      <c r="B24" s="2"/>
      <c r="C24" s="3">
        <v>21863.75</v>
      </c>
      <c r="D24" s="3"/>
      <c r="E24" s="3"/>
      <c r="F24" s="13"/>
      <c r="G24" s="29"/>
      <c r="H24" s="3"/>
      <c r="I24" s="3"/>
      <c r="J24" s="3">
        <v>52920.25</v>
      </c>
      <c r="K24" s="3"/>
      <c r="L24" s="3"/>
      <c r="M24" s="12"/>
      <c r="N24" s="12"/>
      <c r="O24" s="12"/>
      <c r="P24" s="12"/>
      <c r="Q24" s="12"/>
      <c r="R24" s="12">
        <f>C24+D24-E24+H24+I24+J24+K24+L24+M24</f>
        <v>74784</v>
      </c>
      <c r="S24" s="47"/>
      <c r="U24" s="30" t="s">
        <v>14</v>
      </c>
      <c r="V24" s="30">
        <v>-50</v>
      </c>
    </row>
    <row r="25" spans="1:22" ht="15.75" customHeight="1" x14ac:dyDescent="0.25">
      <c r="A25" s="1" t="s">
        <v>21</v>
      </c>
      <c r="B25" s="12"/>
      <c r="C25" s="9">
        <v>14181.16</v>
      </c>
      <c r="D25" s="9"/>
      <c r="E25" s="9"/>
      <c r="F25" s="27"/>
      <c r="G25" s="28"/>
      <c r="H25" s="9"/>
      <c r="I25" s="9"/>
      <c r="J25" s="9"/>
      <c r="K25" s="9"/>
      <c r="L25" s="9"/>
      <c r="M25" s="12"/>
      <c r="N25" s="12"/>
      <c r="O25" s="12"/>
      <c r="P25" s="12"/>
      <c r="Q25" s="12"/>
      <c r="R25" s="12">
        <f>C25+D25-E25+H25+I25+J25+K25+L25+M25</f>
        <v>14181.16</v>
      </c>
      <c r="S25" s="48"/>
      <c r="U25" s="30" t="s">
        <v>15</v>
      </c>
      <c r="V25" s="30">
        <v>-100</v>
      </c>
    </row>
    <row r="26" spans="1:22" ht="15.75" customHeight="1" x14ac:dyDescent="0.25">
      <c r="A26" s="7"/>
      <c r="B26" s="2"/>
      <c r="C26" s="8"/>
      <c r="D26" s="8"/>
      <c r="E26" s="8"/>
      <c r="F26" s="13"/>
      <c r="G26" s="29"/>
      <c r="H26" s="8"/>
      <c r="I26" s="8"/>
      <c r="J26" s="8"/>
      <c r="K26" s="1"/>
      <c r="L26" s="8"/>
      <c r="M26" s="1"/>
      <c r="N26" s="1"/>
      <c r="O26" s="1"/>
      <c r="P26" s="1"/>
      <c r="Q26" s="1"/>
      <c r="R26" s="1"/>
      <c r="S26" s="35"/>
      <c r="U26" s="30" t="s">
        <v>22</v>
      </c>
      <c r="V26" s="30">
        <v>-230</v>
      </c>
    </row>
    <row r="27" spans="1:22" ht="15.75" customHeight="1" x14ac:dyDescent="0.25">
      <c r="A27" s="7">
        <v>45817</v>
      </c>
      <c r="B27" s="2"/>
      <c r="C27" s="31" t="s">
        <v>0</v>
      </c>
      <c r="D27" s="15" t="s">
        <v>31</v>
      </c>
      <c r="E27" s="15" t="s">
        <v>32</v>
      </c>
      <c r="F27" s="15" t="s">
        <v>33</v>
      </c>
      <c r="G27" s="15" t="s">
        <v>34</v>
      </c>
      <c r="H27" s="31" t="s">
        <v>3</v>
      </c>
      <c r="I27" s="31" t="s">
        <v>4</v>
      </c>
      <c r="J27" s="31" t="s">
        <v>5</v>
      </c>
      <c r="K27" s="32" t="s">
        <v>6</v>
      </c>
      <c r="L27" s="31" t="s">
        <v>7</v>
      </c>
      <c r="M27" s="32" t="s">
        <v>8</v>
      </c>
      <c r="N27" s="32" t="s">
        <v>25</v>
      </c>
      <c r="O27" s="32" t="s">
        <v>26</v>
      </c>
      <c r="P27" s="32" t="s">
        <v>27</v>
      </c>
      <c r="Q27" s="32" t="s">
        <v>30</v>
      </c>
      <c r="R27" s="1" t="s">
        <v>9</v>
      </c>
      <c r="S27" s="16"/>
      <c r="U27" s="30" t="s">
        <v>16</v>
      </c>
      <c r="V27" s="30">
        <v>-100</v>
      </c>
    </row>
    <row r="28" spans="1:22" ht="15.75" customHeight="1" x14ac:dyDescent="0.25">
      <c r="A28" s="1" t="s">
        <v>10</v>
      </c>
      <c r="B28" s="2"/>
      <c r="C28" s="3">
        <v>7577.95</v>
      </c>
      <c r="D28" s="3">
        <v>854353.5</v>
      </c>
      <c r="E28" s="3">
        <v>374949.8</v>
      </c>
      <c r="F28" s="33">
        <v>406362</v>
      </c>
      <c r="G28" s="38">
        <v>280375.44</v>
      </c>
      <c r="H28" s="3">
        <v>60989.85</v>
      </c>
      <c r="I28" s="3">
        <v>69950.960000000006</v>
      </c>
      <c r="J28" s="3">
        <v>172278.75</v>
      </c>
      <c r="K28" s="3">
        <v>0</v>
      </c>
      <c r="L28" s="3">
        <v>0</v>
      </c>
      <c r="M28" s="12">
        <v>69805.19</v>
      </c>
      <c r="N28" s="12">
        <v>11460</v>
      </c>
      <c r="O28" s="12">
        <v>3929.94</v>
      </c>
      <c r="P28" s="12">
        <v>9596.66</v>
      </c>
      <c r="Q28" s="12">
        <v>51264.39</v>
      </c>
      <c r="R28" s="12">
        <f>C28+D28-E28+H28+I28+J28+K28+L28+M28+N28+O28+P28+Q28</f>
        <v>936257.3899999999</v>
      </c>
      <c r="S28" s="46">
        <f>R28+R29+R30</f>
        <v>939938.98999999987</v>
      </c>
      <c r="U28" s="30" t="s">
        <v>17</v>
      </c>
      <c r="V28" s="30">
        <v>-70</v>
      </c>
    </row>
    <row r="29" spans="1:22" ht="15.75" customHeight="1" x14ac:dyDescent="0.25">
      <c r="A29" s="1" t="s">
        <v>11</v>
      </c>
      <c r="B29" s="2"/>
      <c r="C29" s="3"/>
      <c r="D29" s="3"/>
      <c r="E29" s="3"/>
      <c r="F29" s="13"/>
      <c r="G29" s="29"/>
      <c r="H29" s="3"/>
      <c r="I29" s="3"/>
      <c r="J29" s="3"/>
      <c r="K29" s="3"/>
      <c r="L29" s="3"/>
      <c r="M29" s="12"/>
      <c r="N29" s="12"/>
      <c r="O29" s="12"/>
      <c r="P29" s="12"/>
      <c r="Q29" s="12"/>
      <c r="R29" s="12">
        <f>C29+D29-E29+H29+I29+J29+K29+L29+M29</f>
        <v>0</v>
      </c>
      <c r="S29" s="47"/>
      <c r="U29" s="30" t="s">
        <v>19</v>
      </c>
      <c r="V29" s="30">
        <v>-200</v>
      </c>
    </row>
    <row r="30" spans="1:22" ht="15.75" customHeight="1" x14ac:dyDescent="0.25">
      <c r="A30" s="1" t="s">
        <v>21</v>
      </c>
      <c r="B30" s="12"/>
      <c r="C30" s="3">
        <v>3681.6</v>
      </c>
      <c r="D30" s="3"/>
      <c r="E30" s="3"/>
      <c r="F30" s="13"/>
      <c r="G30" s="28"/>
      <c r="H30" s="9"/>
      <c r="I30" s="9"/>
      <c r="J30" s="9"/>
      <c r="K30" s="9"/>
      <c r="L30" s="9"/>
      <c r="M30" s="12"/>
      <c r="N30" s="12"/>
      <c r="O30" s="12"/>
      <c r="P30" s="12"/>
      <c r="Q30" s="12"/>
      <c r="R30" s="12">
        <f>C30+D30-E30+H30+I30+J30+K30+L30+M30</f>
        <v>3681.6</v>
      </c>
      <c r="S30" s="48"/>
      <c r="U30" s="30" t="s">
        <v>24</v>
      </c>
      <c r="V30" s="30">
        <v>-23</v>
      </c>
    </row>
    <row r="31" spans="1:22" ht="15.75" customHeight="1" x14ac:dyDescent="0.25">
      <c r="A31" s="7"/>
      <c r="B31" s="2"/>
      <c r="C31" s="8"/>
      <c r="D31" s="8"/>
      <c r="E31" s="8"/>
      <c r="F31" s="13"/>
      <c r="G31" s="29"/>
      <c r="H31" s="8"/>
      <c r="I31" s="8"/>
      <c r="J31" s="8"/>
      <c r="K31" s="1"/>
      <c r="L31" s="8"/>
      <c r="M31" s="1"/>
      <c r="N31" s="1"/>
      <c r="O31" s="1"/>
      <c r="P31" s="1"/>
      <c r="Q31" s="1"/>
      <c r="R31" s="1"/>
      <c r="S31" s="46"/>
      <c r="U31" s="30" t="s">
        <v>28</v>
      </c>
      <c r="V31" s="30">
        <v>-2400</v>
      </c>
    </row>
    <row r="32" spans="1:22" ht="15.75" customHeight="1" x14ac:dyDescent="0.25">
      <c r="A32" s="7">
        <v>45817</v>
      </c>
      <c r="B32" s="2"/>
      <c r="C32" s="31" t="s">
        <v>0</v>
      </c>
      <c r="D32" s="15" t="s">
        <v>31</v>
      </c>
      <c r="E32" s="15" t="s">
        <v>32</v>
      </c>
      <c r="F32" s="15" t="s">
        <v>33</v>
      </c>
      <c r="G32" s="15" t="s">
        <v>34</v>
      </c>
      <c r="H32" s="31" t="s">
        <v>3</v>
      </c>
      <c r="I32" s="31" t="s">
        <v>4</v>
      </c>
      <c r="J32" s="31" t="s">
        <v>5</v>
      </c>
      <c r="K32" s="32" t="s">
        <v>6</v>
      </c>
      <c r="L32" s="31" t="s">
        <v>7</v>
      </c>
      <c r="M32" s="32" t="s">
        <v>8</v>
      </c>
      <c r="N32" s="32" t="s">
        <v>25</v>
      </c>
      <c r="O32" s="32" t="s">
        <v>26</v>
      </c>
      <c r="P32" s="32" t="s">
        <v>27</v>
      </c>
      <c r="Q32" s="32" t="s">
        <v>30</v>
      </c>
      <c r="R32" s="1" t="s">
        <v>9</v>
      </c>
      <c r="S32" s="48"/>
      <c r="U32" s="30" t="s">
        <v>35</v>
      </c>
      <c r="V32" s="30">
        <v>-2000</v>
      </c>
    </row>
    <row r="33" spans="1:22" ht="15.75" customHeight="1" x14ac:dyDescent="0.25">
      <c r="A33" s="1" t="s">
        <v>10</v>
      </c>
      <c r="B33" s="2"/>
      <c r="C33" s="3">
        <v>7577.95</v>
      </c>
      <c r="D33" s="3">
        <v>854353.5</v>
      </c>
      <c r="E33" s="3">
        <v>388681.44</v>
      </c>
      <c r="F33" s="33">
        <v>406362</v>
      </c>
      <c r="G33" s="34">
        <v>388681.44</v>
      </c>
      <c r="H33" s="3">
        <v>55477.36</v>
      </c>
      <c r="I33" s="3">
        <v>59243.66</v>
      </c>
      <c r="J33" s="3">
        <v>137490.51</v>
      </c>
      <c r="K33" s="39">
        <v>25808.75</v>
      </c>
      <c r="L33" s="3">
        <v>0</v>
      </c>
      <c r="M33" s="12">
        <v>62943.57</v>
      </c>
      <c r="N33" s="12">
        <v>11184</v>
      </c>
      <c r="O33" s="12">
        <v>2366.1999999999998</v>
      </c>
      <c r="P33" s="12">
        <v>6563.86</v>
      </c>
      <c r="Q33" s="12"/>
      <c r="R33" s="12">
        <f>C33+D33-E33+H33+I33+J33+K33+L33+M33+N33+O33+P33</f>
        <v>834327.91999999993</v>
      </c>
      <c r="S33" s="46">
        <f>R33+R34+R35</f>
        <v>877066.45</v>
      </c>
      <c r="U33" s="30" t="s">
        <v>29</v>
      </c>
      <c r="V33" s="30">
        <v>-120</v>
      </c>
    </row>
    <row r="34" spans="1:22" ht="15.75" customHeight="1" x14ac:dyDescent="0.25">
      <c r="A34" s="1" t="s">
        <v>11</v>
      </c>
      <c r="B34" s="2"/>
      <c r="C34" s="3"/>
      <c r="D34" s="3"/>
      <c r="E34" s="3"/>
      <c r="F34" s="13"/>
      <c r="G34" s="29"/>
      <c r="H34" s="3"/>
      <c r="I34" s="3"/>
      <c r="J34" s="3">
        <v>39056.93</v>
      </c>
      <c r="K34" s="3"/>
      <c r="L34" s="3"/>
      <c r="M34" s="12"/>
      <c r="N34" s="12"/>
      <c r="O34" s="12"/>
      <c r="P34" s="12"/>
      <c r="Q34" s="12"/>
      <c r="R34" s="12">
        <f>C34+D34-E34+H34+I34+J34+K34+L34+M34</f>
        <v>39056.93</v>
      </c>
      <c r="S34" s="47"/>
      <c r="U34" s="30" t="s">
        <v>20</v>
      </c>
      <c r="V34" s="30">
        <v>-550</v>
      </c>
    </row>
    <row r="35" spans="1:22" ht="15.75" customHeight="1" x14ac:dyDescent="0.25">
      <c r="A35" s="1" t="s">
        <v>21</v>
      </c>
      <c r="B35" s="2"/>
      <c r="C35" s="3">
        <v>3681.6</v>
      </c>
      <c r="D35" s="3"/>
      <c r="E35" s="3"/>
      <c r="F35" s="13"/>
      <c r="G35" s="29"/>
      <c r="H35" s="3"/>
      <c r="I35" s="3"/>
      <c r="J35" s="3"/>
      <c r="K35" s="3"/>
      <c r="L35" s="3"/>
      <c r="M35" s="12"/>
      <c r="N35" s="12"/>
      <c r="O35" s="12"/>
      <c r="P35" s="12"/>
      <c r="Q35" s="12"/>
      <c r="R35" s="12">
        <f>C35+D35-E35+H35+I35+J35+K35+L35+M35</f>
        <v>3681.6</v>
      </c>
      <c r="S35" s="48"/>
      <c r="V35" s="30">
        <f>SUM(V20:V34)</f>
        <v>6208</v>
      </c>
    </row>
    <row r="36" spans="1:22" ht="15.75" customHeight="1" x14ac:dyDescent="0.25">
      <c r="A36" s="1"/>
      <c r="B36" s="12"/>
      <c r="C36" s="9"/>
      <c r="D36" s="9"/>
      <c r="E36" s="9"/>
      <c r="F36" s="27"/>
      <c r="G36" s="28"/>
      <c r="H36" s="9"/>
      <c r="I36" s="9"/>
      <c r="J36" s="9"/>
      <c r="K36" s="9"/>
      <c r="L36" s="9"/>
      <c r="M36" s="12"/>
      <c r="N36" s="12"/>
      <c r="O36" s="12"/>
      <c r="P36" s="12"/>
      <c r="Q36" s="12"/>
      <c r="R36" s="12"/>
      <c r="S36" s="35"/>
    </row>
    <row r="37" spans="1:22" ht="15.75" customHeight="1" x14ac:dyDescent="0.25">
      <c r="A37" s="7">
        <v>45882</v>
      </c>
      <c r="B37" s="2"/>
      <c r="C37" s="31" t="s">
        <v>0</v>
      </c>
      <c r="D37" s="15" t="s">
        <v>31</v>
      </c>
      <c r="E37" s="15" t="s">
        <v>32</v>
      </c>
      <c r="F37" s="15" t="s">
        <v>33</v>
      </c>
      <c r="G37" s="15" t="s">
        <v>34</v>
      </c>
      <c r="H37" s="31" t="s">
        <v>3</v>
      </c>
      <c r="I37" s="31" t="s">
        <v>4</v>
      </c>
      <c r="J37" s="31" t="s">
        <v>5</v>
      </c>
      <c r="K37" s="32" t="s">
        <v>6</v>
      </c>
      <c r="L37" s="31" t="s">
        <v>7</v>
      </c>
      <c r="M37" s="32" t="s">
        <v>8</v>
      </c>
      <c r="N37" s="32" t="s">
        <v>25</v>
      </c>
      <c r="O37" s="32" t="s">
        <v>26</v>
      </c>
      <c r="P37" s="32" t="s">
        <v>27</v>
      </c>
      <c r="Q37" s="32" t="s">
        <v>30</v>
      </c>
      <c r="R37" s="1" t="s">
        <v>9</v>
      </c>
      <c r="S37" s="16"/>
    </row>
    <row r="38" spans="1:22" ht="15.75" customHeight="1" x14ac:dyDescent="0.25">
      <c r="A38" s="1" t="s">
        <v>10</v>
      </c>
      <c r="B38" s="2"/>
      <c r="C38" s="3">
        <v>19834</v>
      </c>
      <c r="D38" s="3">
        <v>840774</v>
      </c>
      <c r="E38" s="3">
        <v>372415.78</v>
      </c>
      <c r="F38" s="33">
        <v>403059.5</v>
      </c>
      <c r="G38" s="34">
        <v>279949.15000000002</v>
      </c>
      <c r="H38" s="3">
        <v>64531.74</v>
      </c>
      <c r="I38" s="3">
        <v>79052.17</v>
      </c>
      <c r="J38" s="3">
        <v>186366.5</v>
      </c>
      <c r="K38" s="3">
        <v>27920.82</v>
      </c>
      <c r="L38" s="3">
        <v>0</v>
      </c>
      <c r="M38" s="12">
        <v>74456.59</v>
      </c>
      <c r="N38" s="12">
        <v>11496</v>
      </c>
      <c r="O38" s="12">
        <v>3748.87</v>
      </c>
      <c r="P38" s="12">
        <v>11020.79</v>
      </c>
      <c r="Q38" s="12">
        <v>51566.52</v>
      </c>
      <c r="R38" s="12">
        <f>C38+D38-E38+H38+I38+J38+K38+L38+M38+N38+O38+P38+Q38</f>
        <v>998352.22</v>
      </c>
      <c r="S38" s="46">
        <f>R38+R39+R40</f>
        <v>1105674.2999999998</v>
      </c>
    </row>
    <row r="39" spans="1:22" ht="15.75" customHeight="1" x14ac:dyDescent="0.25">
      <c r="A39" s="1" t="s">
        <v>11</v>
      </c>
      <c r="B39" s="2"/>
      <c r="C39" s="3">
        <v>39753.5</v>
      </c>
      <c r="D39" s="3"/>
      <c r="E39" s="3"/>
      <c r="F39" s="13"/>
      <c r="G39" s="29"/>
      <c r="H39" s="3"/>
      <c r="I39" s="3"/>
      <c r="J39" s="3">
        <v>63886.7</v>
      </c>
      <c r="K39" s="3"/>
      <c r="L39" s="3"/>
      <c r="M39" s="12"/>
      <c r="N39" s="12"/>
      <c r="O39" s="12"/>
      <c r="P39" s="12"/>
      <c r="Q39" s="12"/>
      <c r="R39" s="12">
        <f>C39+D39-E39+H39+I39+J39+K39+L39+M39</f>
        <v>103640.2</v>
      </c>
      <c r="S39" s="47"/>
    </row>
    <row r="40" spans="1:22" ht="15.75" customHeight="1" x14ac:dyDescent="0.25">
      <c r="A40" s="1" t="s">
        <v>21</v>
      </c>
      <c r="B40" s="2"/>
      <c r="C40" s="3">
        <v>3681.88</v>
      </c>
      <c r="D40" s="3"/>
      <c r="E40" s="3"/>
      <c r="F40" s="13"/>
      <c r="G40" s="29"/>
      <c r="H40" s="3"/>
      <c r="I40" s="3"/>
      <c r="J40" s="3"/>
      <c r="K40" s="3"/>
      <c r="L40" s="3"/>
      <c r="M40" s="12"/>
      <c r="N40" s="12"/>
      <c r="O40" s="12"/>
      <c r="P40" s="12"/>
      <c r="Q40" s="12"/>
      <c r="R40" s="12">
        <f>C40+D40-E40+H40+I40+J40+K40+L40+M40</f>
        <v>3681.88</v>
      </c>
      <c r="S40" s="48"/>
    </row>
    <row r="41" spans="1:22" ht="15.75" customHeight="1" x14ac:dyDescent="0.25">
      <c r="A41" s="1"/>
      <c r="B41" s="12"/>
      <c r="C41" s="9"/>
      <c r="D41" s="9"/>
      <c r="E41" s="9"/>
      <c r="F41" s="27"/>
      <c r="G41" s="28"/>
      <c r="H41" s="9"/>
      <c r="I41" s="9"/>
      <c r="J41" s="9"/>
      <c r="K41" s="9"/>
      <c r="L41" s="9"/>
      <c r="M41" s="12"/>
      <c r="N41" s="12"/>
      <c r="O41" s="12"/>
      <c r="P41" s="12"/>
      <c r="Q41" s="12"/>
      <c r="R41" s="12"/>
      <c r="S41" s="46"/>
    </row>
    <row r="42" spans="1:22" ht="15.75" customHeight="1" x14ac:dyDescent="0.25">
      <c r="A42" s="7">
        <v>46266</v>
      </c>
      <c r="B42" s="2"/>
      <c r="C42" s="31" t="s">
        <v>0</v>
      </c>
      <c r="D42" s="15" t="s">
        <v>31</v>
      </c>
      <c r="E42" s="15" t="s">
        <v>32</v>
      </c>
      <c r="F42" s="15" t="s">
        <v>33</v>
      </c>
      <c r="G42" s="15" t="s">
        <v>34</v>
      </c>
      <c r="H42" s="31" t="s">
        <v>3</v>
      </c>
      <c r="I42" s="31" t="s">
        <v>4</v>
      </c>
      <c r="J42" s="31" t="s">
        <v>5</v>
      </c>
      <c r="K42" s="32" t="s">
        <v>6</v>
      </c>
      <c r="L42" s="31" t="s">
        <v>7</v>
      </c>
      <c r="M42" s="32" t="s">
        <v>8</v>
      </c>
      <c r="N42" s="32" t="s">
        <v>25</v>
      </c>
      <c r="O42" s="32" t="s">
        <v>26</v>
      </c>
      <c r="P42" s="32" t="s">
        <v>27</v>
      </c>
      <c r="Q42" s="32" t="s">
        <v>30</v>
      </c>
      <c r="R42" s="1" t="s">
        <v>9</v>
      </c>
      <c r="S42" s="48"/>
    </row>
    <row r="43" spans="1:22" ht="15.75" customHeight="1" x14ac:dyDescent="0.25">
      <c r="A43" s="1" t="s">
        <v>10</v>
      </c>
      <c r="B43" s="2"/>
      <c r="C43" s="3">
        <v>1000</v>
      </c>
      <c r="D43" s="3">
        <v>833638.5</v>
      </c>
      <c r="E43" s="3">
        <v>355658.84</v>
      </c>
      <c r="F43" s="33">
        <v>402162.5</v>
      </c>
      <c r="G43" s="34">
        <v>284685.59999999998</v>
      </c>
      <c r="H43" s="3">
        <v>75037.740000000005</v>
      </c>
      <c r="I43" s="3">
        <v>90412.62</v>
      </c>
      <c r="J43" s="3">
        <v>256270.39</v>
      </c>
      <c r="K43" s="3">
        <v>31962.47</v>
      </c>
      <c r="L43" s="3">
        <v>0</v>
      </c>
      <c r="M43" s="12">
        <v>90818.9</v>
      </c>
      <c r="N43" s="12">
        <v>11840</v>
      </c>
      <c r="O43" s="12">
        <v>3536.09</v>
      </c>
      <c r="P43" s="12">
        <v>15759.09</v>
      </c>
      <c r="Q43" s="12">
        <v>0</v>
      </c>
      <c r="R43" s="12">
        <f>C43+D43-E43+F3-G3+H43+I43+J43+K43+L43+M43+N43+O43+P43+Q43</f>
        <v>1162798.8999999999</v>
      </c>
      <c r="S43" s="46">
        <f>R43+R44+R45</f>
        <v>1360870.45</v>
      </c>
    </row>
    <row r="44" spans="1:22" ht="15.75" customHeight="1" x14ac:dyDescent="0.25">
      <c r="A44" s="1" t="s">
        <v>11</v>
      </c>
      <c r="B44" s="2"/>
      <c r="C44" s="3">
        <v>109316.09</v>
      </c>
      <c r="D44" s="3"/>
      <c r="E44" s="3"/>
      <c r="F44" s="13"/>
      <c r="G44" s="29"/>
      <c r="H44" s="3"/>
      <c r="I44" s="3"/>
      <c r="J44" s="40">
        <v>88755.46</v>
      </c>
      <c r="K44" s="3"/>
      <c r="L44" s="3"/>
      <c r="N44" s="12"/>
      <c r="O44" s="12"/>
      <c r="P44" s="12"/>
      <c r="Q44" s="12"/>
      <c r="R44" s="12">
        <f>C44+D44-E44+H44+I44+J44+K44+L44+M44+N44+O44+P44+Q44</f>
        <v>198071.55</v>
      </c>
      <c r="S44" s="47"/>
    </row>
    <row r="45" spans="1:22" ht="15.75" customHeight="1" x14ac:dyDescent="0.25">
      <c r="A45" s="1" t="s">
        <v>21</v>
      </c>
      <c r="B45" s="2"/>
      <c r="C45" s="3">
        <v>0</v>
      </c>
      <c r="D45" s="3"/>
      <c r="E45" s="3"/>
      <c r="F45" s="13"/>
      <c r="G45" s="29"/>
      <c r="H45" s="3"/>
      <c r="I45" s="3"/>
      <c r="J45" s="3"/>
      <c r="K45" s="3"/>
      <c r="L45" s="3"/>
      <c r="M45" s="12"/>
      <c r="N45" s="12"/>
      <c r="O45" s="12"/>
      <c r="P45" s="12"/>
      <c r="Q45" s="12"/>
      <c r="R45" s="12">
        <f>C45+D45-E45+H45+I45+J45+K45+L45+M45+N45+O45+P45+Q45</f>
        <v>0</v>
      </c>
      <c r="S45" s="48"/>
    </row>
    <row r="46" spans="1:22" ht="15.75" customHeight="1" x14ac:dyDescent="0.25">
      <c r="A46" s="1"/>
      <c r="B46" s="12"/>
      <c r="C46" s="9"/>
      <c r="D46" s="9"/>
      <c r="E46" s="9"/>
      <c r="F46" s="27"/>
      <c r="G46" s="28"/>
      <c r="H46" s="9"/>
      <c r="I46" s="9"/>
      <c r="J46" s="9"/>
      <c r="K46" s="9"/>
      <c r="L46" s="9"/>
      <c r="M46" s="12"/>
      <c r="N46" s="12"/>
      <c r="O46" s="12"/>
      <c r="P46" s="12"/>
      <c r="Q46" s="12"/>
      <c r="R46" s="12"/>
      <c r="S46" s="35"/>
    </row>
    <row r="47" spans="1:22" ht="15.75" customHeight="1" x14ac:dyDescent="0.25">
      <c r="A47" s="7">
        <v>46301</v>
      </c>
      <c r="B47" s="2"/>
      <c r="C47" s="31" t="s">
        <v>0</v>
      </c>
      <c r="D47" s="15" t="s">
        <v>31</v>
      </c>
      <c r="E47" s="15" t="s">
        <v>32</v>
      </c>
      <c r="F47" s="15" t="s">
        <v>33</v>
      </c>
      <c r="G47" s="15" t="s">
        <v>34</v>
      </c>
      <c r="H47" s="31" t="s">
        <v>3</v>
      </c>
      <c r="I47" s="31" t="s">
        <v>4</v>
      </c>
      <c r="J47" s="31" t="s">
        <v>5</v>
      </c>
      <c r="K47" s="32" t="s">
        <v>6</v>
      </c>
      <c r="L47" s="31" t="s">
        <v>7</v>
      </c>
      <c r="M47" s="32" t="s">
        <v>8</v>
      </c>
      <c r="N47" s="32" t="s">
        <v>25</v>
      </c>
      <c r="O47" s="32" t="s">
        <v>26</v>
      </c>
      <c r="P47" s="32" t="s">
        <v>27</v>
      </c>
      <c r="Q47" s="32" t="s">
        <v>30</v>
      </c>
      <c r="R47" s="1" t="s">
        <v>9</v>
      </c>
      <c r="S47" s="16"/>
    </row>
    <row r="48" spans="1:22" ht="15.75" customHeight="1" x14ac:dyDescent="0.25">
      <c r="A48" s="1" t="s">
        <v>10</v>
      </c>
      <c r="B48" s="2"/>
      <c r="C48" s="3">
        <v>553.14</v>
      </c>
      <c r="D48" s="3">
        <v>825281.5</v>
      </c>
      <c r="E48" s="3">
        <v>354349.07</v>
      </c>
      <c r="F48" s="33">
        <v>402320</v>
      </c>
      <c r="G48" s="44">
        <v>284127.46999999997</v>
      </c>
      <c r="H48" s="3">
        <v>74057.37</v>
      </c>
      <c r="I48" s="3">
        <v>97773.86</v>
      </c>
      <c r="J48" s="3">
        <v>252056.18</v>
      </c>
      <c r="K48" s="3">
        <v>33025.14</v>
      </c>
      <c r="L48" s="3">
        <v>0</v>
      </c>
      <c r="M48" s="12">
        <v>90851.27</v>
      </c>
      <c r="N48" s="12">
        <v>11904</v>
      </c>
      <c r="O48" s="12">
        <v>3554</v>
      </c>
      <c r="P48" s="45">
        <v>15832.6</v>
      </c>
      <c r="Q48" s="12">
        <v>0</v>
      </c>
      <c r="R48" s="12">
        <f>C48+D48-E48+F8-G8+H48+I48+J48+K48+L48+M48+N48+O48+P48+Q48</f>
        <v>1050539.99</v>
      </c>
      <c r="S48" s="46">
        <f>R48+R49+R50</f>
        <v>1050540.3</v>
      </c>
    </row>
    <row r="49" spans="1:19" ht="15.75" customHeight="1" x14ac:dyDescent="0.25">
      <c r="A49" s="1" t="s">
        <v>11</v>
      </c>
      <c r="B49" s="2"/>
      <c r="C49" s="3"/>
      <c r="D49" s="3"/>
      <c r="E49" s="3"/>
      <c r="F49" s="13"/>
      <c r="G49" s="29"/>
      <c r="H49" s="3"/>
      <c r="I49" s="3"/>
      <c r="J49" s="3"/>
      <c r="K49" s="3"/>
      <c r="L49" s="3"/>
      <c r="M49" s="12"/>
      <c r="N49" s="12"/>
      <c r="O49" s="12"/>
      <c r="P49" s="12"/>
      <c r="Q49" s="12"/>
      <c r="R49" s="12">
        <f>C49+D49-E49+H49+I49+J49+K49+L49+M49+N49+O49+P49+Q49</f>
        <v>0</v>
      </c>
      <c r="S49" s="47"/>
    </row>
    <row r="50" spans="1:19" ht="15.75" customHeight="1" x14ac:dyDescent="0.25">
      <c r="A50" s="1" t="s">
        <v>21</v>
      </c>
      <c r="B50" s="2"/>
      <c r="C50" s="3">
        <v>0.31</v>
      </c>
      <c r="D50" s="3"/>
      <c r="E50" s="3"/>
      <c r="F50" s="13"/>
      <c r="G50" s="29"/>
      <c r="H50" s="3"/>
      <c r="I50" s="3"/>
      <c r="J50" s="3"/>
      <c r="K50" s="3"/>
      <c r="L50" s="3"/>
      <c r="M50" s="12"/>
      <c r="N50" s="12"/>
      <c r="O50" s="12"/>
      <c r="P50" s="12"/>
      <c r="Q50" s="12"/>
      <c r="R50" s="12">
        <f>C50+D50-E50+H50+I50+J50+K50+L50+M50+N50+O50+P50+Q50</f>
        <v>0.31</v>
      </c>
      <c r="S50" s="48"/>
    </row>
    <row r="51" spans="1:19" ht="15.75" customHeight="1" x14ac:dyDescent="0.25">
      <c r="A51" s="1"/>
      <c r="B51" s="12"/>
      <c r="C51" s="9"/>
      <c r="D51" s="9"/>
      <c r="E51" s="9"/>
      <c r="F51" s="27"/>
      <c r="G51" s="28"/>
      <c r="H51" s="9"/>
      <c r="I51" s="9"/>
      <c r="J51" s="9"/>
      <c r="K51" s="9"/>
      <c r="L51" s="9"/>
      <c r="M51" s="12"/>
      <c r="N51" s="12"/>
      <c r="O51" s="12"/>
      <c r="P51" s="12"/>
      <c r="Q51" s="12"/>
      <c r="R51" s="12"/>
      <c r="S51" s="46"/>
    </row>
    <row r="52" spans="1:19" ht="15.75" customHeight="1" x14ac:dyDescent="0.25">
      <c r="A52" s="7">
        <v>45963</v>
      </c>
      <c r="B52" s="2"/>
      <c r="C52" s="31" t="s">
        <v>0</v>
      </c>
      <c r="D52" s="15" t="s">
        <v>31</v>
      </c>
      <c r="E52" s="15" t="s">
        <v>32</v>
      </c>
      <c r="F52" s="15" t="s">
        <v>33</v>
      </c>
      <c r="G52" s="15" t="s">
        <v>34</v>
      </c>
      <c r="H52" s="31" t="s">
        <v>3</v>
      </c>
      <c r="I52" s="31" t="s">
        <v>4</v>
      </c>
      <c r="J52" s="31" t="s">
        <v>5</v>
      </c>
      <c r="K52" s="32" t="s">
        <v>6</v>
      </c>
      <c r="L52" s="31" t="s">
        <v>7</v>
      </c>
      <c r="M52" s="32" t="s">
        <v>8</v>
      </c>
      <c r="N52" s="32" t="s">
        <v>25</v>
      </c>
      <c r="O52" s="32" t="s">
        <v>26</v>
      </c>
      <c r="P52" s="32" t="s">
        <v>27</v>
      </c>
      <c r="Q52" s="32" t="s">
        <v>30</v>
      </c>
      <c r="R52" s="1" t="s">
        <v>9</v>
      </c>
      <c r="S52" s="48"/>
    </row>
    <row r="53" spans="1:19" ht="15.75" customHeight="1" x14ac:dyDescent="0.25">
      <c r="A53" s="1" t="s">
        <v>10</v>
      </c>
      <c r="B53" s="2"/>
      <c r="C53" s="3"/>
      <c r="D53" s="3"/>
      <c r="E53" s="3"/>
      <c r="F53" s="33"/>
      <c r="G53" s="34"/>
      <c r="H53" s="3"/>
      <c r="I53" s="3"/>
      <c r="J53" s="3"/>
      <c r="K53" s="3"/>
      <c r="L53" s="3"/>
      <c r="M53" s="12"/>
      <c r="N53" s="12"/>
      <c r="O53" s="12"/>
      <c r="P53" s="12"/>
      <c r="Q53" s="12"/>
      <c r="R53" s="12">
        <f>C53+D53-E53+F13-G13+H53+I53+J53+K53+L53+M53+N53+O53+P53+Q53</f>
        <v>123628.5</v>
      </c>
      <c r="S53" s="46">
        <f>R53+R54+R55</f>
        <v>123628.5</v>
      </c>
    </row>
    <row r="54" spans="1:19" ht="15.75" customHeight="1" x14ac:dyDescent="0.25">
      <c r="A54" s="1" t="s">
        <v>11</v>
      </c>
      <c r="B54" s="2"/>
      <c r="D54" s="3"/>
      <c r="E54" s="3"/>
      <c r="F54" s="13"/>
      <c r="G54" s="29"/>
      <c r="H54" s="3"/>
      <c r="I54" s="3"/>
      <c r="J54" s="3"/>
      <c r="K54" s="3"/>
      <c r="L54" s="3"/>
      <c r="M54" s="12"/>
      <c r="N54" s="12"/>
      <c r="O54" s="12"/>
      <c r="P54" s="12"/>
      <c r="Q54" s="12"/>
      <c r="R54" s="12">
        <f>C54+D54-E54+H54+I54+J54+K54+L54+M54+N54+O54+P54+Q54</f>
        <v>0</v>
      </c>
      <c r="S54" s="47"/>
    </row>
    <row r="55" spans="1:19" ht="15.75" customHeight="1" x14ac:dyDescent="0.25">
      <c r="A55" s="1" t="s">
        <v>21</v>
      </c>
      <c r="B55" s="2"/>
      <c r="C55" s="3"/>
      <c r="D55" s="3"/>
      <c r="E55" s="3"/>
      <c r="F55" s="13"/>
      <c r="G55" s="29"/>
      <c r="H55" s="3"/>
      <c r="I55" s="3"/>
      <c r="J55" s="3"/>
      <c r="K55" s="3"/>
      <c r="L55" s="3"/>
      <c r="M55" s="12"/>
      <c r="N55" s="12"/>
      <c r="O55" s="12"/>
      <c r="P55" s="12"/>
      <c r="Q55" s="12"/>
      <c r="R55" s="12">
        <f>C55+D55-E55+H55+I55+J55+K55+L55+M55+N55+O55+P55+Q55</f>
        <v>0</v>
      </c>
      <c r="S55" s="48"/>
    </row>
    <row r="56" spans="1:19" ht="15.75" customHeight="1" x14ac:dyDescent="0.25">
      <c r="A56" s="1"/>
      <c r="B56" s="12"/>
      <c r="C56" s="9"/>
      <c r="D56" s="9"/>
      <c r="E56" s="9"/>
      <c r="F56" s="27"/>
      <c r="G56" s="28"/>
      <c r="H56" s="9"/>
      <c r="I56" s="9"/>
      <c r="J56" s="9"/>
      <c r="K56" s="9"/>
      <c r="L56" s="9"/>
      <c r="M56" s="12"/>
      <c r="N56" s="12"/>
      <c r="O56" s="12"/>
      <c r="P56" s="12"/>
      <c r="Q56" s="12"/>
      <c r="R56" s="12"/>
      <c r="S56" s="46"/>
    </row>
    <row r="57" spans="1:19" ht="15.75" customHeight="1" x14ac:dyDescent="0.25">
      <c r="A57" s="7">
        <v>44905</v>
      </c>
      <c r="B57" s="2"/>
      <c r="C57" s="31" t="s">
        <v>0</v>
      </c>
      <c r="D57" s="15" t="s">
        <v>31</v>
      </c>
      <c r="E57" s="15" t="s">
        <v>32</v>
      </c>
      <c r="F57" s="15" t="s">
        <v>33</v>
      </c>
      <c r="G57" s="15" t="s">
        <v>34</v>
      </c>
      <c r="H57" s="31" t="s">
        <v>3</v>
      </c>
      <c r="I57" s="31" t="s">
        <v>4</v>
      </c>
      <c r="J57" s="31" t="s">
        <v>5</v>
      </c>
      <c r="K57" s="32" t="s">
        <v>6</v>
      </c>
      <c r="L57" s="31" t="s">
        <v>7</v>
      </c>
      <c r="M57" s="32" t="s">
        <v>8</v>
      </c>
      <c r="N57" s="32" t="s">
        <v>25</v>
      </c>
      <c r="O57" s="32" t="s">
        <v>26</v>
      </c>
      <c r="P57" s="32" t="s">
        <v>27</v>
      </c>
      <c r="Q57" s="32" t="s">
        <v>30</v>
      </c>
      <c r="R57" s="1" t="s">
        <v>9</v>
      </c>
      <c r="S57" s="48"/>
    </row>
    <row r="58" spans="1:19" ht="15.75" customHeight="1" x14ac:dyDescent="0.25">
      <c r="A58" s="1" t="s">
        <v>10</v>
      </c>
      <c r="B58" s="2"/>
      <c r="C58" s="3"/>
      <c r="D58" s="3"/>
      <c r="E58" s="3"/>
      <c r="F58" s="13"/>
      <c r="G58" s="29"/>
      <c r="H58" s="3"/>
      <c r="I58" s="3"/>
      <c r="J58" s="3"/>
      <c r="K58" s="3"/>
      <c r="L58" s="3"/>
      <c r="M58" s="12"/>
      <c r="N58" s="12"/>
      <c r="O58" s="12"/>
      <c r="P58" s="12"/>
      <c r="Q58" s="12"/>
      <c r="R58" s="12">
        <f>C58+D58-E58+F18-G18+H58+I58+J58+K58+L58+M58+N58+O58+P58+Q58</f>
        <v>124039.04999999999</v>
      </c>
      <c r="S58" s="46">
        <f>R58+R59+R60</f>
        <v>124039.04999999999</v>
      </c>
    </row>
    <row r="59" spans="1:19" ht="15.75" customHeight="1" x14ac:dyDescent="0.25">
      <c r="A59" s="1" t="s">
        <v>11</v>
      </c>
      <c r="B59" s="2"/>
      <c r="C59" s="3"/>
      <c r="D59" s="3"/>
      <c r="E59" s="3"/>
      <c r="F59" s="13"/>
      <c r="G59" s="29"/>
      <c r="H59" s="3"/>
      <c r="I59" s="3"/>
      <c r="J59" s="3"/>
      <c r="K59" s="3"/>
      <c r="L59" s="3"/>
      <c r="M59" s="12"/>
      <c r="N59" s="12"/>
      <c r="O59" s="12"/>
      <c r="P59" s="12"/>
      <c r="Q59" s="12"/>
      <c r="R59" s="12">
        <f>C59+D59-E59+H59+I59+J59+K59+L59+M59+N59+O59+P59+Q59</f>
        <v>0</v>
      </c>
      <c r="S59" s="47"/>
    </row>
    <row r="60" spans="1:19" ht="15.75" customHeight="1" x14ac:dyDescent="0.25">
      <c r="A60" s="1" t="s">
        <v>21</v>
      </c>
      <c r="B60" s="2"/>
      <c r="C60" s="3"/>
      <c r="D60" s="3"/>
      <c r="E60" s="3"/>
      <c r="F60" s="13"/>
      <c r="G60" s="29"/>
      <c r="H60" s="3"/>
      <c r="I60" s="3"/>
      <c r="J60" s="3"/>
      <c r="K60" s="3"/>
      <c r="L60" s="3"/>
      <c r="M60" s="12"/>
      <c r="N60" s="12"/>
      <c r="O60" s="12"/>
      <c r="P60" s="12"/>
      <c r="Q60" s="12"/>
      <c r="R60" s="12">
        <f>C60+D60-E60+H60+I60+J60+K60+L60+M60+N60+O60+P60+Q60</f>
        <v>0</v>
      </c>
      <c r="S60" s="48"/>
    </row>
    <row r="61" spans="1:19" ht="15.75" customHeight="1" x14ac:dyDescent="0.25">
      <c r="F61" s="42"/>
      <c r="G61" s="43"/>
    </row>
    <row r="62" spans="1:19" ht="15.75" customHeight="1" x14ac:dyDescent="0.25">
      <c r="F62" s="42"/>
      <c r="G62" s="43"/>
    </row>
    <row r="63" spans="1:19" ht="15.75" customHeight="1" x14ac:dyDescent="0.25">
      <c r="F63" s="42"/>
      <c r="G63" s="43"/>
    </row>
    <row r="64" spans="1:19" ht="15.75" customHeight="1" x14ac:dyDescent="0.25">
      <c r="F64" s="42"/>
      <c r="G64" s="43"/>
    </row>
    <row r="65" spans="6:7" ht="15.75" customHeight="1" x14ac:dyDescent="0.25">
      <c r="F65" s="42"/>
      <c r="G65" s="43"/>
    </row>
    <row r="66" spans="6:7" ht="15.75" customHeight="1" x14ac:dyDescent="0.25">
      <c r="F66" s="42"/>
      <c r="G66" s="43"/>
    </row>
    <row r="67" spans="6:7" ht="15.75" customHeight="1" x14ac:dyDescent="0.25">
      <c r="F67" s="42"/>
      <c r="G67" s="43"/>
    </row>
    <row r="68" spans="6:7" ht="15.75" customHeight="1" x14ac:dyDescent="0.25">
      <c r="F68" s="42"/>
      <c r="G68" s="43"/>
    </row>
    <row r="69" spans="6:7" ht="15.75" customHeight="1" x14ac:dyDescent="0.25">
      <c r="F69" s="42"/>
      <c r="G69" s="43"/>
    </row>
    <row r="70" spans="6:7" ht="15.75" customHeight="1" x14ac:dyDescent="0.25">
      <c r="F70" s="42"/>
      <c r="G70" s="43"/>
    </row>
    <row r="71" spans="6:7" ht="15.75" customHeight="1" x14ac:dyDescent="0.25">
      <c r="F71" s="42"/>
      <c r="G71" s="43"/>
    </row>
    <row r="72" spans="6:7" ht="15.75" customHeight="1" x14ac:dyDescent="0.25">
      <c r="F72" s="42"/>
      <c r="G72" s="43"/>
    </row>
    <row r="73" spans="6:7" ht="15.75" customHeight="1" x14ac:dyDescent="0.25">
      <c r="F73" s="42"/>
      <c r="G73" s="43"/>
    </row>
    <row r="74" spans="6:7" ht="15.75" customHeight="1" x14ac:dyDescent="0.25">
      <c r="F74" s="42"/>
      <c r="G74" s="43"/>
    </row>
    <row r="75" spans="6:7" ht="15.75" customHeight="1" x14ac:dyDescent="0.25">
      <c r="F75" s="42"/>
      <c r="G75" s="43"/>
    </row>
    <row r="76" spans="6:7" ht="15.75" customHeight="1" x14ac:dyDescent="0.25">
      <c r="F76" s="42"/>
      <c r="G76" s="43"/>
    </row>
    <row r="77" spans="6:7" ht="15.75" customHeight="1" x14ac:dyDescent="0.25">
      <c r="F77" s="42"/>
      <c r="G77" s="43"/>
    </row>
    <row r="78" spans="6:7" ht="15.75" customHeight="1" x14ac:dyDescent="0.25">
      <c r="F78" s="42"/>
      <c r="G78" s="43"/>
    </row>
    <row r="79" spans="6:7" ht="15.75" customHeight="1" x14ac:dyDescent="0.25">
      <c r="F79" s="42"/>
      <c r="G79" s="43"/>
    </row>
    <row r="80" spans="6:7" ht="15.75" customHeight="1" x14ac:dyDescent="0.25">
      <c r="F80" s="42"/>
      <c r="G80" s="43"/>
    </row>
    <row r="81" spans="6:7" ht="15.75" customHeight="1" x14ac:dyDescent="0.25">
      <c r="F81" s="42"/>
      <c r="G81" s="43"/>
    </row>
    <row r="82" spans="6:7" ht="15.75" customHeight="1" x14ac:dyDescent="0.25">
      <c r="F82" s="42"/>
      <c r="G82" s="43"/>
    </row>
    <row r="83" spans="6:7" ht="15.75" customHeight="1" x14ac:dyDescent="0.25">
      <c r="F83" s="42"/>
      <c r="G83" s="43"/>
    </row>
    <row r="84" spans="6:7" ht="15.75" customHeight="1" x14ac:dyDescent="0.25">
      <c r="F84" s="42"/>
      <c r="G84" s="43"/>
    </row>
    <row r="85" spans="6:7" ht="15.75" customHeight="1" x14ac:dyDescent="0.25">
      <c r="F85" s="42"/>
      <c r="G85" s="43"/>
    </row>
    <row r="86" spans="6:7" ht="15.75" customHeight="1" x14ac:dyDescent="0.25">
      <c r="F86" s="42"/>
      <c r="G86" s="43"/>
    </row>
    <row r="87" spans="6:7" ht="15.75" customHeight="1" x14ac:dyDescent="0.25">
      <c r="F87" s="42"/>
      <c r="G87" s="43"/>
    </row>
    <row r="88" spans="6:7" ht="15.75" customHeight="1" x14ac:dyDescent="0.25">
      <c r="F88" s="42"/>
      <c r="G88" s="43"/>
    </row>
    <row r="89" spans="6:7" ht="15.75" customHeight="1" x14ac:dyDescent="0.25">
      <c r="F89" s="42"/>
      <c r="G89" s="43"/>
    </row>
    <row r="90" spans="6:7" ht="15.75" customHeight="1" x14ac:dyDescent="0.25">
      <c r="F90" s="42"/>
      <c r="G90" s="43"/>
    </row>
    <row r="91" spans="6:7" ht="15.75" customHeight="1" x14ac:dyDescent="0.25">
      <c r="F91" s="42"/>
      <c r="G91" s="43"/>
    </row>
    <row r="92" spans="6:7" ht="15.75" customHeight="1" x14ac:dyDescent="0.25">
      <c r="F92" s="42"/>
      <c r="G92" s="43"/>
    </row>
    <row r="93" spans="6:7" ht="15.75" customHeight="1" x14ac:dyDescent="0.25">
      <c r="F93" s="42"/>
      <c r="G93" s="43"/>
    </row>
    <row r="94" spans="6:7" ht="15.75" customHeight="1" x14ac:dyDescent="0.25">
      <c r="F94" s="42"/>
      <c r="G94" s="43"/>
    </row>
    <row r="95" spans="6:7" ht="15.75" customHeight="1" x14ac:dyDescent="0.25">
      <c r="F95" s="42"/>
      <c r="G95" s="43"/>
    </row>
    <row r="96" spans="6:7" ht="15.75" customHeight="1" x14ac:dyDescent="0.25">
      <c r="F96" s="42"/>
      <c r="G96" s="43"/>
    </row>
    <row r="97" spans="6:7" ht="15.75" customHeight="1" x14ac:dyDescent="0.25">
      <c r="F97" s="42"/>
      <c r="G97" s="43"/>
    </row>
    <row r="98" spans="6:7" ht="15.75" customHeight="1" x14ac:dyDescent="0.25">
      <c r="F98" s="42"/>
      <c r="G98" s="43"/>
    </row>
    <row r="99" spans="6:7" ht="15.75" customHeight="1" x14ac:dyDescent="0.25">
      <c r="F99" s="42"/>
      <c r="G99" s="43"/>
    </row>
    <row r="100" spans="6:7" ht="15.75" customHeight="1" x14ac:dyDescent="0.25">
      <c r="F100" s="42"/>
      <c r="G100" s="43"/>
    </row>
    <row r="101" spans="6:7" ht="15.75" customHeight="1" x14ac:dyDescent="0.25">
      <c r="F101" s="42"/>
      <c r="G101" s="43"/>
    </row>
    <row r="102" spans="6:7" ht="15.75" customHeight="1" x14ac:dyDescent="0.25">
      <c r="F102" s="42"/>
      <c r="G102" s="43"/>
    </row>
    <row r="103" spans="6:7" ht="15.75" customHeight="1" x14ac:dyDescent="0.25">
      <c r="F103" s="42"/>
      <c r="G103" s="43"/>
    </row>
    <row r="104" spans="6:7" ht="15.75" customHeight="1" x14ac:dyDescent="0.25">
      <c r="F104" s="42"/>
      <c r="G104" s="43"/>
    </row>
    <row r="105" spans="6:7" ht="15.75" customHeight="1" x14ac:dyDescent="0.25">
      <c r="F105" s="42"/>
      <c r="G105" s="43"/>
    </row>
    <row r="106" spans="6:7" ht="15.75" customHeight="1" x14ac:dyDescent="0.25">
      <c r="F106" s="42"/>
      <c r="G106" s="43"/>
    </row>
    <row r="107" spans="6:7" ht="15.75" customHeight="1" x14ac:dyDescent="0.25">
      <c r="F107" s="42"/>
      <c r="G107" s="43"/>
    </row>
    <row r="108" spans="6:7" ht="15.75" customHeight="1" x14ac:dyDescent="0.25">
      <c r="F108" s="42"/>
      <c r="G108" s="43"/>
    </row>
    <row r="109" spans="6:7" ht="15.75" customHeight="1" x14ac:dyDescent="0.25">
      <c r="F109" s="42"/>
      <c r="G109" s="43"/>
    </row>
    <row r="110" spans="6:7" ht="15.75" customHeight="1" x14ac:dyDescent="0.25">
      <c r="F110" s="42"/>
      <c r="G110" s="43"/>
    </row>
    <row r="111" spans="6:7" ht="15.75" customHeight="1" x14ac:dyDescent="0.25">
      <c r="F111" s="42"/>
      <c r="G111" s="43"/>
    </row>
    <row r="112" spans="6:7" ht="15.75" customHeight="1" x14ac:dyDescent="0.25">
      <c r="F112" s="42"/>
      <c r="G112" s="43"/>
    </row>
    <row r="113" spans="6:7" ht="15.75" customHeight="1" x14ac:dyDescent="0.25">
      <c r="F113" s="42"/>
      <c r="G113" s="43"/>
    </row>
    <row r="114" spans="6:7" ht="15.75" customHeight="1" x14ac:dyDescent="0.25">
      <c r="F114" s="42"/>
      <c r="G114" s="43"/>
    </row>
    <row r="115" spans="6:7" ht="15.75" customHeight="1" x14ac:dyDescent="0.25">
      <c r="F115" s="42"/>
      <c r="G115" s="43"/>
    </row>
    <row r="116" spans="6:7" ht="15.75" customHeight="1" x14ac:dyDescent="0.25">
      <c r="F116" s="42"/>
      <c r="G116" s="43"/>
    </row>
    <row r="117" spans="6:7" ht="15.75" customHeight="1" x14ac:dyDescent="0.25">
      <c r="F117" s="42"/>
      <c r="G117" s="43"/>
    </row>
    <row r="118" spans="6:7" ht="15.75" customHeight="1" x14ac:dyDescent="0.25">
      <c r="F118" s="42"/>
      <c r="G118" s="43"/>
    </row>
    <row r="119" spans="6:7" ht="15.75" customHeight="1" x14ac:dyDescent="0.25">
      <c r="F119" s="42"/>
      <c r="G119" s="43"/>
    </row>
    <row r="120" spans="6:7" ht="15.75" customHeight="1" x14ac:dyDescent="0.25">
      <c r="F120" s="42"/>
      <c r="G120" s="43"/>
    </row>
    <row r="121" spans="6:7" ht="15.75" customHeight="1" x14ac:dyDescent="0.25">
      <c r="F121" s="42"/>
      <c r="G121" s="43"/>
    </row>
    <row r="122" spans="6:7" ht="15.75" customHeight="1" x14ac:dyDescent="0.25">
      <c r="F122" s="42"/>
      <c r="G122" s="43"/>
    </row>
    <row r="123" spans="6:7" ht="15.75" customHeight="1" x14ac:dyDescent="0.25">
      <c r="F123" s="42"/>
      <c r="G123" s="43"/>
    </row>
    <row r="124" spans="6:7" ht="15.75" customHeight="1" x14ac:dyDescent="0.25">
      <c r="F124" s="42"/>
      <c r="G124" s="43"/>
    </row>
    <row r="125" spans="6:7" ht="15.75" customHeight="1" x14ac:dyDescent="0.25">
      <c r="F125" s="42"/>
      <c r="G125" s="43"/>
    </row>
    <row r="126" spans="6:7" ht="15.75" customHeight="1" x14ac:dyDescent="0.25">
      <c r="F126" s="42"/>
      <c r="G126" s="43"/>
    </row>
    <row r="127" spans="6:7" ht="15.75" customHeight="1" x14ac:dyDescent="0.25">
      <c r="F127" s="42"/>
      <c r="G127" s="43"/>
    </row>
    <row r="128" spans="6:7" ht="15.75" customHeight="1" x14ac:dyDescent="0.25">
      <c r="F128" s="42"/>
      <c r="G128" s="43"/>
    </row>
    <row r="129" spans="6:7" ht="15.75" customHeight="1" x14ac:dyDescent="0.25">
      <c r="F129" s="42"/>
      <c r="G129" s="43"/>
    </row>
    <row r="130" spans="6:7" ht="15.75" customHeight="1" x14ac:dyDescent="0.25">
      <c r="F130" s="42"/>
      <c r="G130" s="43"/>
    </row>
    <row r="131" spans="6:7" ht="15.75" customHeight="1" x14ac:dyDescent="0.25">
      <c r="F131" s="42"/>
      <c r="G131" s="43"/>
    </row>
    <row r="132" spans="6:7" ht="15.75" customHeight="1" x14ac:dyDescent="0.25">
      <c r="F132" s="42"/>
      <c r="G132" s="43"/>
    </row>
    <row r="133" spans="6:7" ht="15.75" customHeight="1" x14ac:dyDescent="0.25">
      <c r="F133" s="42"/>
      <c r="G133" s="43"/>
    </row>
    <row r="134" spans="6:7" ht="15.75" customHeight="1" x14ac:dyDescent="0.25">
      <c r="F134" s="42"/>
      <c r="G134" s="43"/>
    </row>
    <row r="135" spans="6:7" ht="15.75" customHeight="1" x14ac:dyDescent="0.25">
      <c r="F135" s="42"/>
      <c r="G135" s="43"/>
    </row>
    <row r="136" spans="6:7" ht="15.75" customHeight="1" x14ac:dyDescent="0.25">
      <c r="F136" s="42"/>
      <c r="G136" s="43"/>
    </row>
    <row r="137" spans="6:7" ht="15.75" customHeight="1" x14ac:dyDescent="0.25">
      <c r="F137" s="42"/>
      <c r="G137" s="43"/>
    </row>
    <row r="138" spans="6:7" ht="15.75" customHeight="1" x14ac:dyDescent="0.25">
      <c r="F138" s="42"/>
      <c r="G138" s="43"/>
    </row>
    <row r="139" spans="6:7" ht="15.75" customHeight="1" x14ac:dyDescent="0.25">
      <c r="F139" s="42"/>
      <c r="G139" s="43"/>
    </row>
    <row r="140" spans="6:7" ht="15.75" customHeight="1" x14ac:dyDescent="0.25">
      <c r="F140" s="42"/>
      <c r="G140" s="43"/>
    </row>
    <row r="141" spans="6:7" ht="15.75" customHeight="1" x14ac:dyDescent="0.25">
      <c r="F141" s="42"/>
      <c r="G141" s="43"/>
    </row>
    <row r="142" spans="6:7" ht="15.75" customHeight="1" x14ac:dyDescent="0.25">
      <c r="F142" s="42"/>
      <c r="G142" s="43"/>
    </row>
    <row r="143" spans="6:7" ht="15.75" customHeight="1" x14ac:dyDescent="0.25">
      <c r="F143" s="42"/>
      <c r="G143" s="43"/>
    </row>
    <row r="144" spans="6:7" ht="15.75" customHeight="1" x14ac:dyDescent="0.25">
      <c r="F144" s="42"/>
      <c r="G144" s="43"/>
    </row>
    <row r="145" spans="6:7" ht="15.75" customHeight="1" x14ac:dyDescent="0.25">
      <c r="F145" s="42"/>
      <c r="G145" s="43"/>
    </row>
    <row r="146" spans="6:7" ht="15.75" customHeight="1" x14ac:dyDescent="0.25">
      <c r="F146" s="42"/>
      <c r="G146" s="43"/>
    </row>
    <row r="147" spans="6:7" ht="15.75" customHeight="1" x14ac:dyDescent="0.25">
      <c r="F147" s="42"/>
      <c r="G147" s="43"/>
    </row>
    <row r="148" spans="6:7" ht="15.75" customHeight="1" x14ac:dyDescent="0.25">
      <c r="F148" s="42"/>
      <c r="G148" s="43"/>
    </row>
    <row r="149" spans="6:7" ht="15.75" customHeight="1" x14ac:dyDescent="0.25">
      <c r="F149" s="42"/>
      <c r="G149" s="43"/>
    </row>
    <row r="150" spans="6:7" ht="15.75" customHeight="1" x14ac:dyDescent="0.25">
      <c r="F150" s="42"/>
      <c r="G150" s="43"/>
    </row>
    <row r="151" spans="6:7" ht="15.75" customHeight="1" x14ac:dyDescent="0.25">
      <c r="F151" s="42"/>
      <c r="G151" s="43"/>
    </row>
    <row r="152" spans="6:7" ht="15.75" customHeight="1" x14ac:dyDescent="0.25">
      <c r="F152" s="42"/>
      <c r="G152" s="43"/>
    </row>
    <row r="153" spans="6:7" ht="15.75" customHeight="1" x14ac:dyDescent="0.25">
      <c r="F153" s="42"/>
      <c r="G153" s="43"/>
    </row>
    <row r="154" spans="6:7" ht="15.75" customHeight="1" x14ac:dyDescent="0.25">
      <c r="F154" s="42"/>
      <c r="G154" s="43"/>
    </row>
    <row r="155" spans="6:7" ht="15.75" customHeight="1" x14ac:dyDescent="0.25">
      <c r="F155" s="42"/>
      <c r="G155" s="43"/>
    </row>
    <row r="156" spans="6:7" ht="15.75" customHeight="1" x14ac:dyDescent="0.25">
      <c r="F156" s="42"/>
      <c r="G156" s="43"/>
    </row>
    <row r="157" spans="6:7" ht="15.75" customHeight="1" x14ac:dyDescent="0.25">
      <c r="F157" s="42"/>
      <c r="G157" s="43"/>
    </row>
    <row r="158" spans="6:7" ht="15.75" customHeight="1" x14ac:dyDescent="0.25">
      <c r="F158" s="42"/>
      <c r="G158" s="43"/>
    </row>
    <row r="159" spans="6:7" ht="15.75" customHeight="1" x14ac:dyDescent="0.25">
      <c r="F159" s="42"/>
      <c r="G159" s="43"/>
    </row>
    <row r="160" spans="6:7" ht="15.75" customHeight="1" x14ac:dyDescent="0.25">
      <c r="F160" s="42"/>
      <c r="G160" s="43"/>
    </row>
    <row r="161" spans="6:7" ht="15.75" customHeight="1" x14ac:dyDescent="0.25">
      <c r="F161" s="42"/>
      <c r="G161" s="43"/>
    </row>
    <row r="162" spans="6:7" ht="15.75" customHeight="1" x14ac:dyDescent="0.25">
      <c r="F162" s="42"/>
      <c r="G162" s="43"/>
    </row>
    <row r="163" spans="6:7" ht="15.75" customHeight="1" x14ac:dyDescent="0.25">
      <c r="F163" s="42"/>
      <c r="G163" s="43"/>
    </row>
    <row r="164" spans="6:7" ht="15.75" customHeight="1" x14ac:dyDescent="0.25">
      <c r="F164" s="42"/>
      <c r="G164" s="43"/>
    </row>
    <row r="165" spans="6:7" ht="15.75" customHeight="1" x14ac:dyDescent="0.25">
      <c r="F165" s="42"/>
      <c r="G165" s="43"/>
    </row>
    <row r="166" spans="6:7" ht="15.75" customHeight="1" x14ac:dyDescent="0.25">
      <c r="F166" s="42"/>
      <c r="G166" s="43"/>
    </row>
    <row r="167" spans="6:7" ht="15.75" customHeight="1" x14ac:dyDescent="0.25">
      <c r="F167" s="42"/>
      <c r="G167" s="43"/>
    </row>
    <row r="168" spans="6:7" ht="15.75" customHeight="1" x14ac:dyDescent="0.25">
      <c r="F168" s="42"/>
      <c r="G168" s="43"/>
    </row>
    <row r="169" spans="6:7" ht="15.75" customHeight="1" x14ac:dyDescent="0.25">
      <c r="F169" s="42"/>
      <c r="G169" s="43"/>
    </row>
    <row r="170" spans="6:7" ht="15.75" customHeight="1" x14ac:dyDescent="0.25">
      <c r="F170" s="42"/>
      <c r="G170" s="43"/>
    </row>
    <row r="171" spans="6:7" ht="15.75" customHeight="1" x14ac:dyDescent="0.25">
      <c r="F171" s="42"/>
      <c r="G171" s="43"/>
    </row>
    <row r="172" spans="6:7" ht="15.75" customHeight="1" x14ac:dyDescent="0.25">
      <c r="F172" s="42"/>
      <c r="G172" s="43"/>
    </row>
    <row r="173" spans="6:7" ht="15.75" customHeight="1" x14ac:dyDescent="0.25">
      <c r="F173" s="42"/>
      <c r="G173" s="43"/>
    </row>
    <row r="174" spans="6:7" ht="15.75" customHeight="1" x14ac:dyDescent="0.25">
      <c r="F174" s="42"/>
      <c r="G174" s="43"/>
    </row>
    <row r="175" spans="6:7" ht="15.75" customHeight="1" x14ac:dyDescent="0.25">
      <c r="F175" s="42"/>
      <c r="G175" s="43"/>
    </row>
    <row r="176" spans="6:7" ht="15.75" customHeight="1" x14ac:dyDescent="0.25">
      <c r="F176" s="42"/>
      <c r="G176" s="43"/>
    </row>
    <row r="177" spans="6:7" ht="15.75" customHeight="1" x14ac:dyDescent="0.25">
      <c r="F177" s="42"/>
      <c r="G177" s="43"/>
    </row>
    <row r="178" spans="6:7" ht="15.75" customHeight="1" x14ac:dyDescent="0.25">
      <c r="F178" s="42"/>
      <c r="G178" s="43"/>
    </row>
    <row r="179" spans="6:7" ht="15.75" customHeight="1" x14ac:dyDescent="0.25">
      <c r="F179" s="42"/>
      <c r="G179" s="43"/>
    </row>
    <row r="180" spans="6:7" ht="15.75" customHeight="1" x14ac:dyDescent="0.25">
      <c r="F180" s="42"/>
      <c r="G180" s="43"/>
    </row>
    <row r="181" spans="6:7" ht="15.75" customHeight="1" x14ac:dyDescent="0.25">
      <c r="F181" s="42"/>
      <c r="G181" s="43"/>
    </row>
    <row r="182" spans="6:7" ht="15.75" customHeight="1" x14ac:dyDescent="0.25">
      <c r="F182" s="42"/>
      <c r="G182" s="43"/>
    </row>
    <row r="183" spans="6:7" ht="15.75" customHeight="1" x14ac:dyDescent="0.25">
      <c r="F183" s="42"/>
      <c r="G183" s="43"/>
    </row>
    <row r="184" spans="6:7" ht="15.75" customHeight="1" x14ac:dyDescent="0.25">
      <c r="F184" s="42"/>
      <c r="G184" s="43"/>
    </row>
    <row r="185" spans="6:7" ht="15.75" customHeight="1" x14ac:dyDescent="0.25">
      <c r="F185" s="42"/>
      <c r="G185" s="43"/>
    </row>
    <row r="186" spans="6:7" ht="15.75" customHeight="1" x14ac:dyDescent="0.25">
      <c r="F186" s="42"/>
      <c r="G186" s="43"/>
    </row>
    <row r="187" spans="6:7" ht="15.75" customHeight="1" x14ac:dyDescent="0.25">
      <c r="F187" s="42"/>
      <c r="G187" s="43"/>
    </row>
    <row r="188" spans="6:7" ht="15.75" customHeight="1" x14ac:dyDescent="0.25">
      <c r="F188" s="42"/>
      <c r="G188" s="43"/>
    </row>
    <row r="189" spans="6:7" ht="15.75" customHeight="1" x14ac:dyDescent="0.25">
      <c r="F189" s="42"/>
      <c r="G189" s="43"/>
    </row>
    <row r="190" spans="6:7" ht="15.75" customHeight="1" x14ac:dyDescent="0.25">
      <c r="F190" s="42"/>
      <c r="G190" s="43"/>
    </row>
    <row r="191" spans="6:7" ht="15.75" customHeight="1" x14ac:dyDescent="0.25">
      <c r="F191" s="42"/>
      <c r="G191" s="43"/>
    </row>
    <row r="192" spans="6:7" ht="15.75" customHeight="1" x14ac:dyDescent="0.25">
      <c r="F192" s="42"/>
      <c r="G192" s="43"/>
    </row>
    <row r="193" spans="6:7" ht="15.75" customHeight="1" x14ac:dyDescent="0.25">
      <c r="F193" s="42"/>
      <c r="G193" s="43"/>
    </row>
    <row r="194" spans="6:7" ht="15.75" customHeight="1" x14ac:dyDescent="0.25">
      <c r="F194" s="42"/>
      <c r="G194" s="43"/>
    </row>
    <row r="195" spans="6:7" ht="15.75" customHeight="1" x14ac:dyDescent="0.25">
      <c r="F195" s="42"/>
      <c r="G195" s="43"/>
    </row>
    <row r="196" spans="6:7" ht="15.75" customHeight="1" x14ac:dyDescent="0.25">
      <c r="F196" s="42"/>
      <c r="G196" s="43"/>
    </row>
    <row r="197" spans="6:7" ht="15.75" customHeight="1" x14ac:dyDescent="0.25">
      <c r="F197" s="42"/>
      <c r="G197" s="43"/>
    </row>
    <row r="198" spans="6:7" ht="15.75" customHeight="1" x14ac:dyDescent="0.25">
      <c r="F198" s="42"/>
      <c r="G198" s="43"/>
    </row>
    <row r="199" spans="6:7" ht="15.75" customHeight="1" x14ac:dyDescent="0.25">
      <c r="F199" s="42"/>
      <c r="G199" s="43"/>
    </row>
    <row r="200" spans="6:7" ht="15.75" customHeight="1" x14ac:dyDescent="0.25">
      <c r="F200" s="42"/>
      <c r="G200" s="43"/>
    </row>
    <row r="201" spans="6:7" ht="15.75" customHeight="1" x14ac:dyDescent="0.25">
      <c r="F201" s="42"/>
      <c r="G201" s="43"/>
    </row>
    <row r="202" spans="6:7" ht="15.75" customHeight="1" x14ac:dyDescent="0.25">
      <c r="F202" s="42"/>
      <c r="G202" s="43"/>
    </row>
    <row r="203" spans="6:7" ht="15.75" customHeight="1" x14ac:dyDescent="0.25">
      <c r="F203" s="42"/>
      <c r="G203" s="43"/>
    </row>
    <row r="204" spans="6:7" ht="15.75" customHeight="1" x14ac:dyDescent="0.25">
      <c r="F204" s="42"/>
      <c r="G204" s="43"/>
    </row>
    <row r="205" spans="6:7" ht="15.75" customHeight="1" x14ac:dyDescent="0.25">
      <c r="F205" s="42"/>
      <c r="G205" s="43"/>
    </row>
    <row r="206" spans="6:7" ht="15.75" customHeight="1" x14ac:dyDescent="0.25">
      <c r="F206" s="42"/>
      <c r="G206" s="43"/>
    </row>
    <row r="207" spans="6:7" ht="15.75" customHeight="1" x14ac:dyDescent="0.25">
      <c r="F207" s="42"/>
      <c r="G207" s="43"/>
    </row>
    <row r="208" spans="6:7" ht="15.75" customHeight="1" x14ac:dyDescent="0.25">
      <c r="F208" s="42"/>
      <c r="G208" s="43"/>
    </row>
    <row r="209" spans="6:7" ht="15.75" customHeight="1" x14ac:dyDescent="0.25">
      <c r="F209" s="42"/>
      <c r="G209" s="43"/>
    </row>
    <row r="210" spans="6:7" ht="15.75" customHeight="1" x14ac:dyDescent="0.25">
      <c r="F210" s="42"/>
      <c r="G210" s="43"/>
    </row>
    <row r="211" spans="6:7" ht="15.75" customHeight="1" x14ac:dyDescent="0.25">
      <c r="F211" s="42"/>
      <c r="G211" s="43"/>
    </row>
    <row r="212" spans="6:7" ht="15.75" customHeight="1" x14ac:dyDescent="0.25">
      <c r="F212" s="42"/>
      <c r="G212" s="43"/>
    </row>
    <row r="213" spans="6:7" ht="15.75" customHeight="1" x14ac:dyDescent="0.25">
      <c r="F213" s="42"/>
      <c r="G213" s="43"/>
    </row>
    <row r="214" spans="6:7" ht="15.75" customHeight="1" x14ac:dyDescent="0.25">
      <c r="F214" s="42"/>
      <c r="G214" s="43"/>
    </row>
    <row r="215" spans="6:7" ht="15.75" customHeight="1" x14ac:dyDescent="0.25">
      <c r="F215" s="42"/>
      <c r="G215" s="43"/>
    </row>
    <row r="216" spans="6:7" ht="15.75" customHeight="1" x14ac:dyDescent="0.25">
      <c r="F216" s="42"/>
      <c r="G216" s="43"/>
    </row>
    <row r="217" spans="6:7" ht="15.75" customHeight="1" x14ac:dyDescent="0.25">
      <c r="F217" s="42"/>
      <c r="G217" s="43"/>
    </row>
    <row r="218" spans="6:7" ht="15.75" customHeight="1" x14ac:dyDescent="0.25">
      <c r="F218" s="42"/>
      <c r="G218" s="43"/>
    </row>
    <row r="219" spans="6:7" ht="15.75" customHeight="1" x14ac:dyDescent="0.25">
      <c r="F219" s="42"/>
      <c r="G219" s="43"/>
    </row>
    <row r="220" spans="6:7" ht="15.75" customHeight="1" x14ac:dyDescent="0.25">
      <c r="F220" s="42"/>
      <c r="G220" s="43"/>
    </row>
    <row r="221" spans="6:7" ht="15.75" customHeight="1" x14ac:dyDescent="0.25">
      <c r="F221" s="42"/>
      <c r="G221" s="43"/>
    </row>
    <row r="222" spans="6:7" ht="15.75" customHeight="1" x14ac:dyDescent="0.25">
      <c r="F222" s="42"/>
      <c r="G222" s="43"/>
    </row>
    <row r="223" spans="6:7" ht="15.75" customHeight="1" x14ac:dyDescent="0.25">
      <c r="F223" s="42"/>
      <c r="G223" s="43"/>
    </row>
    <row r="224" spans="6:7" ht="15.75" customHeight="1" x14ac:dyDescent="0.25">
      <c r="F224" s="42"/>
      <c r="G224" s="43"/>
    </row>
    <row r="225" spans="6:7" ht="15.75" customHeight="1" x14ac:dyDescent="0.25">
      <c r="F225" s="42"/>
      <c r="G225" s="43"/>
    </row>
    <row r="226" spans="6:7" ht="15.75" customHeight="1" x14ac:dyDescent="0.25">
      <c r="F226" s="42"/>
      <c r="G226" s="43"/>
    </row>
    <row r="227" spans="6:7" ht="15.75" customHeight="1" x14ac:dyDescent="0.25">
      <c r="F227" s="42"/>
      <c r="G227" s="43"/>
    </row>
    <row r="228" spans="6:7" ht="15.75" customHeight="1" x14ac:dyDescent="0.25">
      <c r="F228" s="42"/>
      <c r="G228" s="43"/>
    </row>
    <row r="229" spans="6:7" ht="15.75" customHeight="1" x14ac:dyDescent="0.25">
      <c r="F229" s="42"/>
      <c r="G229" s="43"/>
    </row>
    <row r="230" spans="6:7" ht="15.75" customHeight="1" x14ac:dyDescent="0.25">
      <c r="F230" s="42"/>
      <c r="G230" s="43"/>
    </row>
    <row r="231" spans="6:7" ht="15.75" customHeight="1" x14ac:dyDescent="0.25">
      <c r="F231" s="42"/>
      <c r="G231" s="43"/>
    </row>
    <row r="232" spans="6:7" ht="15.75" customHeight="1" x14ac:dyDescent="0.25">
      <c r="F232" s="42"/>
      <c r="G232" s="43"/>
    </row>
    <row r="233" spans="6:7" ht="15.75" customHeight="1" x14ac:dyDescent="0.25">
      <c r="F233" s="42"/>
      <c r="G233" s="43"/>
    </row>
    <row r="234" spans="6:7" ht="15.75" customHeight="1" x14ac:dyDescent="0.25">
      <c r="F234" s="42"/>
      <c r="G234" s="43"/>
    </row>
    <row r="235" spans="6:7" ht="15.75" customHeight="1" x14ac:dyDescent="0.25">
      <c r="F235" s="42"/>
      <c r="G235" s="43"/>
    </row>
    <row r="236" spans="6:7" ht="15.75" customHeight="1" x14ac:dyDescent="0.25">
      <c r="F236" s="42"/>
      <c r="G236" s="43"/>
    </row>
    <row r="237" spans="6:7" ht="15.75" customHeight="1" x14ac:dyDescent="0.25">
      <c r="F237" s="42"/>
      <c r="G237" s="43"/>
    </row>
    <row r="238" spans="6:7" ht="15.75" customHeight="1" x14ac:dyDescent="0.25">
      <c r="F238" s="42"/>
      <c r="G238" s="43"/>
    </row>
    <row r="239" spans="6:7" ht="15.75" customHeight="1" x14ac:dyDescent="0.25">
      <c r="F239" s="42"/>
      <c r="G239" s="43"/>
    </row>
    <row r="240" spans="6:7" ht="15.75" customHeight="1" x14ac:dyDescent="0.25">
      <c r="F240" s="42"/>
      <c r="G240" s="43"/>
    </row>
    <row r="241" spans="6:7" ht="15.75" customHeight="1" x14ac:dyDescent="0.25">
      <c r="F241" s="42"/>
      <c r="G241" s="43"/>
    </row>
    <row r="242" spans="6:7" ht="15.75" customHeight="1" x14ac:dyDescent="0.25">
      <c r="F242" s="42"/>
      <c r="G242" s="43"/>
    </row>
    <row r="243" spans="6:7" ht="15.75" customHeight="1" x14ac:dyDescent="0.25">
      <c r="F243" s="42"/>
      <c r="G243" s="43"/>
    </row>
    <row r="244" spans="6:7" ht="15.75" customHeight="1" x14ac:dyDescent="0.25">
      <c r="F244" s="42"/>
      <c r="G244" s="43"/>
    </row>
    <row r="245" spans="6:7" ht="15.75" customHeight="1" x14ac:dyDescent="0.25">
      <c r="F245" s="42"/>
      <c r="G245" s="43"/>
    </row>
    <row r="246" spans="6:7" ht="15.75" customHeight="1" x14ac:dyDescent="0.25">
      <c r="F246" s="42"/>
      <c r="G246" s="43"/>
    </row>
    <row r="247" spans="6:7" ht="15.75" customHeight="1" x14ac:dyDescent="0.25">
      <c r="F247" s="42"/>
      <c r="G247" s="43"/>
    </row>
    <row r="248" spans="6:7" ht="15.75" customHeight="1" x14ac:dyDescent="0.25">
      <c r="F248" s="42"/>
      <c r="G248" s="43"/>
    </row>
    <row r="249" spans="6:7" ht="15.75" customHeight="1" x14ac:dyDescent="0.25">
      <c r="F249" s="42"/>
      <c r="G249" s="43"/>
    </row>
    <row r="250" spans="6:7" ht="15.75" customHeight="1" x14ac:dyDescent="0.25">
      <c r="F250" s="42"/>
      <c r="G250" s="43"/>
    </row>
    <row r="251" spans="6:7" ht="15.75" customHeight="1" x14ac:dyDescent="0.25">
      <c r="F251" s="42"/>
      <c r="G251" s="43"/>
    </row>
    <row r="252" spans="6:7" ht="15.75" customHeight="1" x14ac:dyDescent="0.25">
      <c r="F252" s="42"/>
      <c r="G252" s="43"/>
    </row>
    <row r="253" spans="6:7" ht="15.75" customHeight="1" x14ac:dyDescent="0.25">
      <c r="F253" s="42"/>
      <c r="G253" s="43"/>
    </row>
    <row r="254" spans="6:7" ht="15.75" customHeight="1" x14ac:dyDescent="0.25">
      <c r="F254" s="42"/>
      <c r="G254" s="43"/>
    </row>
    <row r="255" spans="6:7" ht="15.75" customHeight="1" x14ac:dyDescent="0.25">
      <c r="F255" s="42"/>
      <c r="G255" s="43"/>
    </row>
    <row r="256" spans="6:7" ht="15.75" customHeight="1" x14ac:dyDescent="0.25">
      <c r="F256" s="42"/>
      <c r="G256" s="43"/>
    </row>
    <row r="257" spans="6:7" ht="15.75" customHeight="1" x14ac:dyDescent="0.25">
      <c r="F257" s="42"/>
      <c r="G257" s="43"/>
    </row>
    <row r="258" spans="6:7" ht="15.75" customHeight="1" x14ac:dyDescent="0.25">
      <c r="F258" s="42"/>
      <c r="G258" s="43"/>
    </row>
    <row r="259" spans="6:7" ht="15.75" customHeight="1" x14ac:dyDescent="0.25">
      <c r="F259" s="42"/>
      <c r="G259" s="43"/>
    </row>
    <row r="260" spans="6:7" ht="15.75" customHeight="1" x14ac:dyDescent="0.25">
      <c r="F260" s="42"/>
      <c r="G260" s="43"/>
    </row>
    <row r="261" spans="6:7" ht="15.75" customHeight="1" x14ac:dyDescent="0.25">
      <c r="F261" s="42"/>
      <c r="G261" s="43"/>
    </row>
    <row r="262" spans="6:7" ht="15.75" customHeight="1" x14ac:dyDescent="0.25">
      <c r="F262" s="42"/>
      <c r="G262" s="43"/>
    </row>
    <row r="263" spans="6:7" ht="15.75" customHeight="1" x14ac:dyDescent="0.25">
      <c r="F263" s="42"/>
      <c r="G263" s="43"/>
    </row>
    <row r="264" spans="6:7" ht="15.75" customHeight="1" x14ac:dyDescent="0.25">
      <c r="F264" s="42"/>
      <c r="G264" s="43"/>
    </row>
    <row r="265" spans="6:7" ht="15.75" customHeight="1" x14ac:dyDescent="0.25">
      <c r="F265" s="42"/>
      <c r="G265" s="43"/>
    </row>
    <row r="266" spans="6:7" ht="15.75" customHeight="1" x14ac:dyDescent="0.25">
      <c r="F266" s="42"/>
      <c r="G266" s="43"/>
    </row>
    <row r="267" spans="6:7" ht="15.75" customHeight="1" x14ac:dyDescent="0.25">
      <c r="F267" s="42"/>
      <c r="G267" s="43"/>
    </row>
    <row r="268" spans="6:7" ht="15.75" customHeight="1" x14ac:dyDescent="0.25">
      <c r="F268" s="42"/>
      <c r="G268" s="43"/>
    </row>
    <row r="269" spans="6:7" ht="15.75" customHeight="1" x14ac:dyDescent="0.25">
      <c r="F269" s="42"/>
      <c r="G269" s="43"/>
    </row>
    <row r="270" spans="6:7" ht="15.75" customHeight="1" x14ac:dyDescent="0.25">
      <c r="F270" s="42"/>
      <c r="G270" s="43"/>
    </row>
    <row r="271" spans="6:7" ht="15.75" customHeight="1" x14ac:dyDescent="0.25">
      <c r="F271" s="42"/>
      <c r="G271" s="43"/>
    </row>
    <row r="272" spans="6:7" ht="15.75" customHeight="1" x14ac:dyDescent="0.25">
      <c r="F272" s="42"/>
      <c r="G272" s="43"/>
    </row>
    <row r="273" spans="6:7" ht="15.75" customHeight="1" x14ac:dyDescent="0.25">
      <c r="F273" s="42"/>
      <c r="G273" s="43"/>
    </row>
    <row r="274" spans="6:7" ht="15.75" customHeight="1" x14ac:dyDescent="0.25">
      <c r="F274" s="42"/>
      <c r="G274" s="43"/>
    </row>
    <row r="275" spans="6:7" ht="15.75" customHeight="1" x14ac:dyDescent="0.25">
      <c r="F275" s="42"/>
      <c r="G275" s="43"/>
    </row>
    <row r="276" spans="6:7" ht="15.75" customHeight="1" x14ac:dyDescent="0.25">
      <c r="F276" s="42"/>
      <c r="G276" s="43"/>
    </row>
    <row r="277" spans="6:7" ht="15.75" customHeight="1" x14ac:dyDescent="0.25">
      <c r="F277" s="42"/>
      <c r="G277" s="43"/>
    </row>
    <row r="278" spans="6:7" ht="15.75" customHeight="1" x14ac:dyDescent="0.25">
      <c r="F278" s="42"/>
      <c r="G278" s="43"/>
    </row>
    <row r="279" spans="6:7" ht="15.75" customHeight="1" x14ac:dyDescent="0.25">
      <c r="F279" s="42"/>
      <c r="G279" s="43"/>
    </row>
    <row r="280" spans="6:7" ht="15.75" customHeight="1" x14ac:dyDescent="0.25">
      <c r="F280" s="42"/>
      <c r="G280" s="43"/>
    </row>
    <row r="281" spans="6:7" ht="15.75" customHeight="1" x14ac:dyDescent="0.25">
      <c r="F281" s="42"/>
      <c r="G281" s="43"/>
    </row>
    <row r="282" spans="6:7" ht="15.75" customHeight="1" x14ac:dyDescent="0.25">
      <c r="F282" s="42"/>
      <c r="G282" s="43"/>
    </row>
    <row r="283" spans="6:7" ht="15.75" customHeight="1" x14ac:dyDescent="0.25">
      <c r="F283" s="42"/>
      <c r="G283" s="43"/>
    </row>
    <row r="284" spans="6:7" ht="15.75" customHeight="1" x14ac:dyDescent="0.25">
      <c r="F284" s="42"/>
      <c r="G284" s="43"/>
    </row>
    <row r="285" spans="6:7" ht="15.75" customHeight="1" x14ac:dyDescent="0.25">
      <c r="F285" s="42"/>
      <c r="G285" s="43"/>
    </row>
    <row r="286" spans="6:7" ht="15.75" customHeight="1" x14ac:dyDescent="0.25">
      <c r="F286" s="42"/>
      <c r="G286" s="43"/>
    </row>
    <row r="287" spans="6:7" ht="15.75" customHeight="1" x14ac:dyDescent="0.25">
      <c r="F287" s="42"/>
      <c r="G287" s="43"/>
    </row>
    <row r="288" spans="6:7" ht="15.75" customHeight="1" x14ac:dyDescent="0.25">
      <c r="F288" s="42"/>
      <c r="G288" s="43"/>
    </row>
    <row r="289" spans="6:7" ht="15.75" customHeight="1" x14ac:dyDescent="0.25">
      <c r="F289" s="42"/>
      <c r="G289" s="43"/>
    </row>
    <row r="290" spans="6:7" ht="15.75" customHeight="1" x14ac:dyDescent="0.25">
      <c r="F290" s="42"/>
      <c r="G290" s="43"/>
    </row>
    <row r="291" spans="6:7" ht="15.75" customHeight="1" x14ac:dyDescent="0.25">
      <c r="F291" s="42"/>
      <c r="G291" s="43"/>
    </row>
    <row r="292" spans="6:7" ht="15.75" customHeight="1" x14ac:dyDescent="0.25">
      <c r="F292" s="42"/>
      <c r="G292" s="43"/>
    </row>
    <row r="293" spans="6:7" ht="15.75" customHeight="1" x14ac:dyDescent="0.25">
      <c r="F293" s="42"/>
      <c r="G293" s="43"/>
    </row>
    <row r="294" spans="6:7" ht="15.75" customHeight="1" x14ac:dyDescent="0.25">
      <c r="F294" s="42"/>
      <c r="G294" s="43"/>
    </row>
    <row r="295" spans="6:7" ht="15.75" customHeight="1" x14ac:dyDescent="0.25">
      <c r="F295" s="42"/>
      <c r="G295" s="43"/>
    </row>
    <row r="296" spans="6:7" ht="15.75" customHeight="1" x14ac:dyDescent="0.25">
      <c r="F296" s="42"/>
      <c r="G296" s="43"/>
    </row>
    <row r="297" spans="6:7" ht="15.75" customHeight="1" x14ac:dyDescent="0.25">
      <c r="F297" s="42"/>
      <c r="G297" s="43"/>
    </row>
    <row r="298" spans="6:7" ht="15.75" customHeight="1" x14ac:dyDescent="0.25">
      <c r="F298" s="42"/>
      <c r="G298" s="43"/>
    </row>
    <row r="299" spans="6:7" ht="15.75" customHeight="1" x14ac:dyDescent="0.25">
      <c r="F299" s="42"/>
      <c r="G299" s="43"/>
    </row>
    <row r="300" spans="6:7" ht="15.75" customHeight="1" x14ac:dyDescent="0.25">
      <c r="F300" s="42"/>
      <c r="G300" s="43"/>
    </row>
    <row r="301" spans="6:7" ht="15.75" customHeight="1" x14ac:dyDescent="0.25">
      <c r="F301" s="42"/>
      <c r="G301" s="43"/>
    </row>
    <row r="302" spans="6:7" ht="15.75" customHeight="1" x14ac:dyDescent="0.25">
      <c r="F302" s="42"/>
      <c r="G302" s="43"/>
    </row>
    <row r="303" spans="6:7" ht="15.75" customHeight="1" x14ac:dyDescent="0.25">
      <c r="F303" s="42"/>
      <c r="G303" s="43"/>
    </row>
    <row r="304" spans="6:7" ht="15.75" customHeight="1" x14ac:dyDescent="0.25">
      <c r="F304" s="42"/>
      <c r="G304" s="43"/>
    </row>
    <row r="305" spans="6:7" ht="15.75" customHeight="1" x14ac:dyDescent="0.25">
      <c r="F305" s="42"/>
      <c r="G305" s="43"/>
    </row>
    <row r="306" spans="6:7" ht="15.75" customHeight="1" x14ac:dyDescent="0.25">
      <c r="F306" s="42"/>
      <c r="G306" s="43"/>
    </row>
    <row r="307" spans="6:7" ht="15.75" customHeight="1" x14ac:dyDescent="0.25">
      <c r="F307" s="42"/>
      <c r="G307" s="43"/>
    </row>
    <row r="308" spans="6:7" ht="15.75" customHeight="1" x14ac:dyDescent="0.25">
      <c r="F308" s="42"/>
      <c r="G308" s="43"/>
    </row>
    <row r="309" spans="6:7" ht="15.75" customHeight="1" x14ac:dyDescent="0.25">
      <c r="F309" s="42"/>
      <c r="G309" s="43"/>
    </row>
    <row r="310" spans="6:7" ht="15.75" customHeight="1" x14ac:dyDescent="0.25">
      <c r="F310" s="42"/>
      <c r="G310" s="43"/>
    </row>
    <row r="311" spans="6:7" ht="15.75" customHeight="1" x14ac:dyDescent="0.25">
      <c r="F311" s="42"/>
      <c r="G311" s="43"/>
    </row>
    <row r="312" spans="6:7" ht="15.75" customHeight="1" x14ac:dyDescent="0.25">
      <c r="F312" s="42"/>
      <c r="G312" s="43"/>
    </row>
    <row r="313" spans="6:7" ht="15.75" customHeight="1" x14ac:dyDescent="0.25">
      <c r="F313" s="42"/>
      <c r="G313" s="43"/>
    </row>
    <row r="314" spans="6:7" ht="15.75" customHeight="1" x14ac:dyDescent="0.25">
      <c r="F314" s="42"/>
      <c r="G314" s="43"/>
    </row>
    <row r="315" spans="6:7" ht="15.75" customHeight="1" x14ac:dyDescent="0.25">
      <c r="F315" s="42"/>
      <c r="G315" s="43"/>
    </row>
    <row r="316" spans="6:7" ht="15.75" customHeight="1" x14ac:dyDescent="0.25">
      <c r="F316" s="42"/>
      <c r="G316" s="43"/>
    </row>
    <row r="317" spans="6:7" ht="15.75" customHeight="1" x14ac:dyDescent="0.25">
      <c r="F317" s="42"/>
      <c r="G317" s="43"/>
    </row>
    <row r="318" spans="6:7" ht="15.75" customHeight="1" x14ac:dyDescent="0.25">
      <c r="F318" s="42"/>
      <c r="G318" s="43"/>
    </row>
    <row r="319" spans="6:7" ht="15.75" customHeight="1" x14ac:dyDescent="0.25">
      <c r="F319" s="42"/>
      <c r="G319" s="43"/>
    </row>
    <row r="320" spans="6:7" ht="15.75" customHeight="1" x14ac:dyDescent="0.25">
      <c r="F320" s="42"/>
      <c r="G320" s="43"/>
    </row>
    <row r="321" spans="6:7" ht="15.75" customHeight="1" x14ac:dyDescent="0.25">
      <c r="F321" s="42"/>
      <c r="G321" s="43"/>
    </row>
    <row r="322" spans="6:7" ht="15.75" customHeight="1" x14ac:dyDescent="0.25">
      <c r="F322" s="42"/>
      <c r="G322" s="43"/>
    </row>
    <row r="323" spans="6:7" ht="15.75" customHeight="1" x14ac:dyDescent="0.25">
      <c r="F323" s="42"/>
      <c r="G323" s="43"/>
    </row>
    <row r="324" spans="6:7" ht="15.75" customHeight="1" x14ac:dyDescent="0.25">
      <c r="F324" s="42"/>
      <c r="G324" s="43"/>
    </row>
    <row r="325" spans="6:7" ht="15.75" customHeight="1" x14ac:dyDescent="0.25">
      <c r="F325" s="42"/>
      <c r="G325" s="43"/>
    </row>
    <row r="326" spans="6:7" ht="15.75" customHeight="1" x14ac:dyDescent="0.25">
      <c r="F326" s="42"/>
      <c r="G326" s="43"/>
    </row>
    <row r="327" spans="6:7" ht="15.75" customHeight="1" x14ac:dyDescent="0.25">
      <c r="F327" s="42"/>
      <c r="G327" s="43"/>
    </row>
    <row r="328" spans="6:7" ht="15.75" customHeight="1" x14ac:dyDescent="0.25">
      <c r="F328" s="42"/>
      <c r="G328" s="43"/>
    </row>
    <row r="329" spans="6:7" ht="15.75" customHeight="1" x14ac:dyDescent="0.25">
      <c r="F329" s="42"/>
      <c r="G329" s="43"/>
    </row>
    <row r="330" spans="6:7" ht="15.75" customHeight="1" x14ac:dyDescent="0.25">
      <c r="F330" s="42"/>
      <c r="G330" s="43"/>
    </row>
    <row r="331" spans="6:7" ht="15.75" customHeight="1" x14ac:dyDescent="0.25">
      <c r="F331" s="42"/>
      <c r="G331" s="43"/>
    </row>
    <row r="332" spans="6:7" ht="15.75" customHeight="1" x14ac:dyDescent="0.25">
      <c r="F332" s="42"/>
      <c r="G332" s="43"/>
    </row>
    <row r="333" spans="6:7" ht="15.75" customHeight="1" x14ac:dyDescent="0.25">
      <c r="F333" s="42"/>
      <c r="G333" s="43"/>
    </row>
    <row r="334" spans="6:7" ht="15.75" customHeight="1" x14ac:dyDescent="0.25">
      <c r="F334" s="42"/>
      <c r="G334" s="43"/>
    </row>
    <row r="335" spans="6:7" ht="15.75" customHeight="1" x14ac:dyDescent="0.25">
      <c r="F335" s="42"/>
      <c r="G335" s="43"/>
    </row>
    <row r="336" spans="6:7" ht="15.75" customHeight="1" x14ac:dyDescent="0.25">
      <c r="F336" s="42"/>
      <c r="G336" s="43"/>
    </row>
    <row r="337" spans="6:7" ht="15.75" customHeight="1" x14ac:dyDescent="0.25">
      <c r="F337" s="42"/>
      <c r="G337" s="43"/>
    </row>
    <row r="338" spans="6:7" ht="15.75" customHeight="1" x14ac:dyDescent="0.25">
      <c r="F338" s="42"/>
      <c r="G338" s="43"/>
    </row>
    <row r="339" spans="6:7" ht="15.75" customHeight="1" x14ac:dyDescent="0.25">
      <c r="F339" s="42"/>
      <c r="G339" s="43"/>
    </row>
    <row r="340" spans="6:7" ht="15.75" customHeight="1" x14ac:dyDescent="0.25">
      <c r="F340" s="42"/>
      <c r="G340" s="43"/>
    </row>
    <row r="341" spans="6:7" ht="15.75" customHeight="1" x14ac:dyDescent="0.25">
      <c r="F341" s="42"/>
      <c r="G341" s="43"/>
    </row>
    <row r="342" spans="6:7" ht="15.75" customHeight="1" x14ac:dyDescent="0.25">
      <c r="F342" s="42"/>
      <c r="G342" s="43"/>
    </row>
    <row r="343" spans="6:7" ht="15.75" customHeight="1" x14ac:dyDescent="0.25">
      <c r="F343" s="42"/>
      <c r="G343" s="43"/>
    </row>
    <row r="344" spans="6:7" ht="15.75" customHeight="1" x14ac:dyDescent="0.25">
      <c r="F344" s="42"/>
      <c r="G344" s="43"/>
    </row>
    <row r="345" spans="6:7" ht="15.75" customHeight="1" x14ac:dyDescent="0.25">
      <c r="F345" s="42"/>
      <c r="G345" s="43"/>
    </row>
    <row r="346" spans="6:7" ht="15.75" customHeight="1" x14ac:dyDescent="0.25">
      <c r="F346" s="42"/>
      <c r="G346" s="43"/>
    </row>
    <row r="347" spans="6:7" ht="15.75" customHeight="1" x14ac:dyDescent="0.25">
      <c r="F347" s="42"/>
      <c r="G347" s="43"/>
    </row>
    <row r="348" spans="6:7" ht="15.75" customHeight="1" x14ac:dyDescent="0.25">
      <c r="F348" s="42"/>
      <c r="G348" s="43"/>
    </row>
    <row r="349" spans="6:7" ht="15.75" customHeight="1" x14ac:dyDescent="0.25">
      <c r="F349" s="42"/>
      <c r="G349" s="43"/>
    </row>
    <row r="350" spans="6:7" ht="15.75" customHeight="1" x14ac:dyDescent="0.25">
      <c r="F350" s="42"/>
      <c r="G350" s="43"/>
    </row>
    <row r="351" spans="6:7" ht="15.75" customHeight="1" x14ac:dyDescent="0.25">
      <c r="F351" s="42"/>
      <c r="G351" s="43"/>
    </row>
    <row r="352" spans="6:7" ht="15.75" customHeight="1" x14ac:dyDescent="0.25">
      <c r="F352" s="42"/>
      <c r="G352" s="43"/>
    </row>
    <row r="353" spans="6:7" ht="15.75" customHeight="1" x14ac:dyDescent="0.25">
      <c r="F353" s="42"/>
      <c r="G353" s="43"/>
    </row>
    <row r="354" spans="6:7" ht="15.75" customHeight="1" x14ac:dyDescent="0.25">
      <c r="F354" s="42"/>
      <c r="G354" s="43"/>
    </row>
    <row r="355" spans="6:7" ht="15.75" customHeight="1" x14ac:dyDescent="0.25">
      <c r="F355" s="42"/>
      <c r="G355" s="43"/>
    </row>
    <row r="356" spans="6:7" ht="15.75" customHeight="1" x14ac:dyDescent="0.25">
      <c r="F356" s="42"/>
      <c r="G356" s="43"/>
    </row>
    <row r="357" spans="6:7" ht="15.75" customHeight="1" x14ac:dyDescent="0.25">
      <c r="F357" s="42"/>
      <c r="G357" s="43"/>
    </row>
    <row r="358" spans="6:7" ht="15.75" customHeight="1" x14ac:dyDescent="0.25">
      <c r="F358" s="42"/>
      <c r="G358" s="43"/>
    </row>
    <row r="359" spans="6:7" ht="15.75" customHeight="1" x14ac:dyDescent="0.25">
      <c r="F359" s="42"/>
      <c r="G359" s="43"/>
    </row>
    <row r="360" spans="6:7" ht="15.75" customHeight="1" x14ac:dyDescent="0.25">
      <c r="F360" s="42"/>
      <c r="G360" s="43"/>
    </row>
    <row r="361" spans="6:7" ht="15.75" customHeight="1" x14ac:dyDescent="0.25">
      <c r="F361" s="42"/>
      <c r="G361" s="43"/>
    </row>
    <row r="362" spans="6:7" ht="15.75" customHeight="1" x14ac:dyDescent="0.25">
      <c r="F362" s="42"/>
      <c r="G362" s="43"/>
    </row>
    <row r="363" spans="6:7" ht="15.75" customHeight="1" x14ac:dyDescent="0.25">
      <c r="F363" s="42"/>
      <c r="G363" s="43"/>
    </row>
    <row r="364" spans="6:7" ht="15.75" customHeight="1" x14ac:dyDescent="0.25">
      <c r="F364" s="42"/>
      <c r="G364" s="43"/>
    </row>
    <row r="365" spans="6:7" ht="15.75" customHeight="1" x14ac:dyDescent="0.25">
      <c r="F365" s="42"/>
      <c r="G365" s="43"/>
    </row>
    <row r="366" spans="6:7" ht="15.75" customHeight="1" x14ac:dyDescent="0.25">
      <c r="F366" s="42"/>
      <c r="G366" s="43"/>
    </row>
    <row r="367" spans="6:7" ht="15.75" customHeight="1" x14ac:dyDescent="0.25">
      <c r="F367" s="42"/>
      <c r="G367" s="43"/>
    </row>
    <row r="368" spans="6:7" ht="15.75" customHeight="1" x14ac:dyDescent="0.25">
      <c r="F368" s="42"/>
      <c r="G368" s="43"/>
    </row>
    <row r="369" spans="6:7" ht="15.75" customHeight="1" x14ac:dyDescent="0.25">
      <c r="F369" s="42"/>
      <c r="G369" s="43"/>
    </row>
    <row r="370" spans="6:7" ht="15.75" customHeight="1" x14ac:dyDescent="0.25">
      <c r="F370" s="42"/>
      <c r="G370" s="43"/>
    </row>
    <row r="371" spans="6:7" ht="15.75" customHeight="1" x14ac:dyDescent="0.25">
      <c r="F371" s="42"/>
      <c r="G371" s="43"/>
    </row>
    <row r="372" spans="6:7" ht="15.75" customHeight="1" x14ac:dyDescent="0.25">
      <c r="F372" s="42"/>
      <c r="G372" s="43"/>
    </row>
    <row r="373" spans="6:7" ht="15.75" customHeight="1" x14ac:dyDescent="0.25">
      <c r="F373" s="42"/>
      <c r="G373" s="43"/>
    </row>
    <row r="374" spans="6:7" ht="15.75" customHeight="1" x14ac:dyDescent="0.25">
      <c r="F374" s="42"/>
      <c r="G374" s="43"/>
    </row>
    <row r="375" spans="6:7" ht="15.75" customHeight="1" x14ac:dyDescent="0.25">
      <c r="F375" s="42"/>
      <c r="G375" s="43"/>
    </row>
    <row r="376" spans="6:7" ht="15.75" customHeight="1" x14ac:dyDescent="0.25">
      <c r="F376" s="42"/>
      <c r="G376" s="43"/>
    </row>
    <row r="377" spans="6:7" ht="15.75" customHeight="1" x14ac:dyDescent="0.25">
      <c r="F377" s="42"/>
      <c r="G377" s="43"/>
    </row>
    <row r="378" spans="6:7" ht="15.75" customHeight="1" x14ac:dyDescent="0.25">
      <c r="F378" s="42"/>
      <c r="G378" s="43"/>
    </row>
    <row r="379" spans="6:7" ht="15.75" customHeight="1" x14ac:dyDescent="0.25">
      <c r="F379" s="42"/>
      <c r="G379" s="43"/>
    </row>
    <row r="380" spans="6:7" ht="15.75" customHeight="1" x14ac:dyDescent="0.25">
      <c r="F380" s="42"/>
      <c r="G380" s="43"/>
    </row>
    <row r="381" spans="6:7" ht="15.75" customHeight="1" x14ac:dyDescent="0.25">
      <c r="F381" s="42"/>
      <c r="G381" s="43"/>
    </row>
    <row r="382" spans="6:7" ht="15.75" customHeight="1" x14ac:dyDescent="0.25">
      <c r="F382" s="42"/>
      <c r="G382" s="43"/>
    </row>
    <row r="383" spans="6:7" ht="15.75" customHeight="1" x14ac:dyDescent="0.25">
      <c r="F383" s="42"/>
      <c r="G383" s="43"/>
    </row>
    <row r="384" spans="6:7" ht="15.75" customHeight="1" x14ac:dyDescent="0.25">
      <c r="F384" s="42"/>
      <c r="G384" s="43"/>
    </row>
    <row r="385" spans="6:7" ht="15.75" customHeight="1" x14ac:dyDescent="0.25">
      <c r="F385" s="42"/>
      <c r="G385" s="43"/>
    </row>
    <row r="386" spans="6:7" ht="15.75" customHeight="1" x14ac:dyDescent="0.25">
      <c r="F386" s="42"/>
      <c r="G386" s="43"/>
    </row>
    <row r="387" spans="6:7" ht="15.75" customHeight="1" x14ac:dyDescent="0.25">
      <c r="F387" s="42"/>
      <c r="G387" s="43"/>
    </row>
    <row r="388" spans="6:7" ht="15.75" customHeight="1" x14ac:dyDescent="0.25">
      <c r="F388" s="42"/>
      <c r="G388" s="43"/>
    </row>
    <row r="389" spans="6:7" ht="15.75" customHeight="1" x14ac:dyDescent="0.25">
      <c r="F389" s="42"/>
      <c r="G389" s="43"/>
    </row>
    <row r="390" spans="6:7" ht="15.75" customHeight="1" x14ac:dyDescent="0.25">
      <c r="F390" s="42"/>
      <c r="G390" s="43"/>
    </row>
    <row r="391" spans="6:7" ht="15.75" customHeight="1" x14ac:dyDescent="0.25">
      <c r="F391" s="42"/>
      <c r="G391" s="43"/>
    </row>
    <row r="392" spans="6:7" ht="15.75" customHeight="1" x14ac:dyDescent="0.25">
      <c r="F392" s="42"/>
      <c r="G392" s="43"/>
    </row>
    <row r="393" spans="6:7" ht="15.75" customHeight="1" x14ac:dyDescent="0.25">
      <c r="F393" s="42"/>
      <c r="G393" s="43"/>
    </row>
    <row r="394" spans="6:7" ht="15.75" customHeight="1" x14ac:dyDescent="0.25">
      <c r="F394" s="42"/>
      <c r="G394" s="43"/>
    </row>
    <row r="395" spans="6:7" ht="15.75" customHeight="1" x14ac:dyDescent="0.25">
      <c r="F395" s="42"/>
      <c r="G395" s="43"/>
    </row>
    <row r="396" spans="6:7" ht="15.75" customHeight="1" x14ac:dyDescent="0.25">
      <c r="F396" s="42"/>
      <c r="G396" s="43"/>
    </row>
    <row r="397" spans="6:7" ht="15.75" customHeight="1" x14ac:dyDescent="0.25">
      <c r="F397" s="42"/>
      <c r="G397" s="43"/>
    </row>
    <row r="398" spans="6:7" ht="15.75" customHeight="1" x14ac:dyDescent="0.25">
      <c r="F398" s="42"/>
      <c r="G398" s="43"/>
    </row>
    <row r="399" spans="6:7" ht="15.75" customHeight="1" x14ac:dyDescent="0.25">
      <c r="F399" s="42"/>
      <c r="G399" s="43"/>
    </row>
    <row r="400" spans="6:7" ht="15.75" customHeight="1" x14ac:dyDescent="0.25">
      <c r="F400" s="42"/>
      <c r="G400" s="43"/>
    </row>
    <row r="401" spans="6:7" ht="15.75" customHeight="1" x14ac:dyDescent="0.25">
      <c r="F401" s="42"/>
      <c r="G401" s="43"/>
    </row>
    <row r="402" spans="6:7" ht="15.75" customHeight="1" x14ac:dyDescent="0.25">
      <c r="F402" s="42"/>
      <c r="G402" s="43"/>
    </row>
    <row r="403" spans="6:7" ht="15.75" customHeight="1" x14ac:dyDescent="0.25">
      <c r="F403" s="42"/>
      <c r="G403" s="43"/>
    </row>
    <row r="404" spans="6:7" ht="15.75" customHeight="1" x14ac:dyDescent="0.25">
      <c r="F404" s="42"/>
      <c r="G404" s="43"/>
    </row>
    <row r="405" spans="6:7" ht="15.75" customHeight="1" x14ac:dyDescent="0.25">
      <c r="F405" s="42"/>
      <c r="G405" s="43"/>
    </row>
    <row r="406" spans="6:7" ht="15.75" customHeight="1" x14ac:dyDescent="0.25">
      <c r="F406" s="42"/>
      <c r="G406" s="43"/>
    </row>
    <row r="407" spans="6:7" ht="15.75" customHeight="1" x14ac:dyDescent="0.25">
      <c r="F407" s="42"/>
      <c r="G407" s="43"/>
    </row>
    <row r="408" spans="6:7" ht="15.75" customHeight="1" x14ac:dyDescent="0.25">
      <c r="F408" s="42"/>
      <c r="G408" s="43"/>
    </row>
    <row r="409" spans="6:7" ht="15.75" customHeight="1" x14ac:dyDescent="0.25">
      <c r="F409" s="42"/>
      <c r="G409" s="43"/>
    </row>
    <row r="410" spans="6:7" ht="15.75" customHeight="1" x14ac:dyDescent="0.25">
      <c r="F410" s="42"/>
      <c r="G410" s="43"/>
    </row>
    <row r="411" spans="6:7" ht="15.75" customHeight="1" x14ac:dyDescent="0.25">
      <c r="F411" s="42"/>
      <c r="G411" s="43"/>
    </row>
    <row r="412" spans="6:7" ht="15.75" customHeight="1" x14ac:dyDescent="0.25">
      <c r="F412" s="42"/>
      <c r="G412" s="43"/>
    </row>
    <row r="413" spans="6:7" ht="15.75" customHeight="1" x14ac:dyDescent="0.25">
      <c r="F413" s="42"/>
      <c r="G413" s="43"/>
    </row>
    <row r="414" spans="6:7" ht="15.75" customHeight="1" x14ac:dyDescent="0.25">
      <c r="F414" s="42"/>
      <c r="G414" s="43"/>
    </row>
    <row r="415" spans="6:7" ht="15.75" customHeight="1" x14ac:dyDescent="0.25">
      <c r="F415" s="42"/>
      <c r="G415" s="43"/>
    </row>
    <row r="416" spans="6:7" ht="15.75" customHeight="1" x14ac:dyDescent="0.25">
      <c r="F416" s="42"/>
      <c r="G416" s="43"/>
    </row>
    <row r="417" spans="6:7" ht="15.75" customHeight="1" x14ac:dyDescent="0.25">
      <c r="F417" s="42"/>
      <c r="G417" s="43"/>
    </row>
    <row r="418" spans="6:7" ht="15.75" customHeight="1" x14ac:dyDescent="0.25">
      <c r="F418" s="42"/>
      <c r="G418" s="43"/>
    </row>
    <row r="419" spans="6:7" ht="15.75" customHeight="1" x14ac:dyDescent="0.25">
      <c r="F419" s="42"/>
      <c r="G419" s="43"/>
    </row>
    <row r="420" spans="6:7" ht="15.75" customHeight="1" x14ac:dyDescent="0.25">
      <c r="F420" s="42"/>
      <c r="G420" s="43"/>
    </row>
    <row r="421" spans="6:7" ht="15.75" customHeight="1" x14ac:dyDescent="0.25">
      <c r="F421" s="42"/>
      <c r="G421" s="43"/>
    </row>
    <row r="422" spans="6:7" ht="15.75" customHeight="1" x14ac:dyDescent="0.25">
      <c r="F422" s="42"/>
      <c r="G422" s="43"/>
    </row>
    <row r="423" spans="6:7" ht="15.75" customHeight="1" x14ac:dyDescent="0.25">
      <c r="F423" s="42"/>
      <c r="G423" s="43"/>
    </row>
    <row r="424" spans="6:7" ht="15.75" customHeight="1" x14ac:dyDescent="0.25">
      <c r="F424" s="42"/>
      <c r="G424" s="43"/>
    </row>
    <row r="425" spans="6:7" ht="15.75" customHeight="1" x14ac:dyDescent="0.25">
      <c r="F425" s="42"/>
      <c r="G425" s="43"/>
    </row>
    <row r="426" spans="6:7" ht="15.75" customHeight="1" x14ac:dyDescent="0.25">
      <c r="F426" s="42"/>
      <c r="G426" s="43"/>
    </row>
    <row r="427" spans="6:7" ht="15.75" customHeight="1" x14ac:dyDescent="0.25">
      <c r="F427" s="42"/>
      <c r="G427" s="43"/>
    </row>
    <row r="428" spans="6:7" ht="15.75" customHeight="1" x14ac:dyDescent="0.25">
      <c r="F428" s="42"/>
      <c r="G428" s="43"/>
    </row>
    <row r="429" spans="6:7" ht="15.75" customHeight="1" x14ac:dyDescent="0.25">
      <c r="F429" s="42"/>
      <c r="G429" s="43"/>
    </row>
    <row r="430" spans="6:7" ht="15.75" customHeight="1" x14ac:dyDescent="0.25">
      <c r="F430" s="42"/>
      <c r="G430" s="43"/>
    </row>
    <row r="431" spans="6:7" ht="15.75" customHeight="1" x14ac:dyDescent="0.25">
      <c r="F431" s="42"/>
      <c r="G431" s="43"/>
    </row>
    <row r="432" spans="6:7" ht="15.75" customHeight="1" x14ac:dyDescent="0.25">
      <c r="F432" s="42"/>
      <c r="G432" s="43"/>
    </row>
    <row r="433" spans="6:7" ht="15.75" customHeight="1" x14ac:dyDescent="0.25">
      <c r="F433" s="42"/>
      <c r="G433" s="43"/>
    </row>
    <row r="434" spans="6:7" ht="15.75" customHeight="1" x14ac:dyDescent="0.25">
      <c r="F434" s="42"/>
      <c r="G434" s="43"/>
    </row>
    <row r="435" spans="6:7" ht="15.75" customHeight="1" x14ac:dyDescent="0.25">
      <c r="F435" s="42"/>
      <c r="G435" s="43"/>
    </row>
    <row r="436" spans="6:7" ht="15.75" customHeight="1" x14ac:dyDescent="0.25">
      <c r="F436" s="42"/>
      <c r="G436" s="43"/>
    </row>
    <row r="437" spans="6:7" ht="15.75" customHeight="1" x14ac:dyDescent="0.25">
      <c r="F437" s="42"/>
      <c r="G437" s="43"/>
    </row>
    <row r="438" spans="6:7" ht="15.75" customHeight="1" x14ac:dyDescent="0.25">
      <c r="F438" s="42"/>
      <c r="G438" s="43"/>
    </row>
    <row r="439" spans="6:7" ht="15.75" customHeight="1" x14ac:dyDescent="0.25">
      <c r="F439" s="42"/>
      <c r="G439" s="43"/>
    </row>
    <row r="440" spans="6:7" ht="15.75" customHeight="1" x14ac:dyDescent="0.25">
      <c r="F440" s="42"/>
      <c r="G440" s="43"/>
    </row>
    <row r="441" spans="6:7" ht="15.75" customHeight="1" x14ac:dyDescent="0.25">
      <c r="F441" s="42"/>
      <c r="G441" s="43"/>
    </row>
    <row r="442" spans="6:7" ht="15.75" customHeight="1" x14ac:dyDescent="0.25">
      <c r="F442" s="42"/>
      <c r="G442" s="43"/>
    </row>
    <row r="443" spans="6:7" ht="15.75" customHeight="1" x14ac:dyDescent="0.25">
      <c r="F443" s="42"/>
      <c r="G443" s="43"/>
    </row>
    <row r="444" spans="6:7" ht="15.75" customHeight="1" x14ac:dyDescent="0.25">
      <c r="F444" s="42"/>
      <c r="G444" s="43"/>
    </row>
    <row r="445" spans="6:7" ht="15.75" customHeight="1" x14ac:dyDescent="0.25">
      <c r="F445" s="42"/>
      <c r="G445" s="43"/>
    </row>
    <row r="446" spans="6:7" ht="15.75" customHeight="1" x14ac:dyDescent="0.25">
      <c r="F446" s="42"/>
      <c r="G446" s="43"/>
    </row>
    <row r="447" spans="6:7" ht="15.75" customHeight="1" x14ac:dyDescent="0.25">
      <c r="F447" s="42"/>
      <c r="G447" s="43"/>
    </row>
    <row r="448" spans="6:7" ht="15.75" customHeight="1" x14ac:dyDescent="0.25">
      <c r="F448" s="42"/>
      <c r="G448" s="43"/>
    </row>
    <row r="449" spans="6:7" ht="15.75" customHeight="1" x14ac:dyDescent="0.25">
      <c r="F449" s="42"/>
      <c r="G449" s="43"/>
    </row>
    <row r="450" spans="6:7" ht="15.75" customHeight="1" x14ac:dyDescent="0.25">
      <c r="F450" s="42"/>
      <c r="G450" s="43"/>
    </row>
    <row r="451" spans="6:7" ht="15.75" customHeight="1" x14ac:dyDescent="0.25">
      <c r="F451" s="42"/>
      <c r="G451" s="43"/>
    </row>
    <row r="452" spans="6:7" ht="15.75" customHeight="1" x14ac:dyDescent="0.25">
      <c r="F452" s="42"/>
      <c r="G452" s="43"/>
    </row>
    <row r="453" spans="6:7" ht="15.75" customHeight="1" x14ac:dyDescent="0.25">
      <c r="F453" s="42"/>
      <c r="G453" s="43"/>
    </row>
    <row r="454" spans="6:7" ht="15.75" customHeight="1" x14ac:dyDescent="0.25">
      <c r="F454" s="42"/>
      <c r="G454" s="43"/>
    </row>
    <row r="455" spans="6:7" ht="15.75" customHeight="1" x14ac:dyDescent="0.25">
      <c r="F455" s="42"/>
      <c r="G455" s="43"/>
    </row>
    <row r="456" spans="6:7" ht="15.75" customHeight="1" x14ac:dyDescent="0.25">
      <c r="F456" s="42"/>
      <c r="G456" s="43"/>
    </row>
    <row r="457" spans="6:7" ht="15.75" customHeight="1" x14ac:dyDescent="0.25">
      <c r="F457" s="42"/>
      <c r="G457" s="43"/>
    </row>
    <row r="458" spans="6:7" ht="15.75" customHeight="1" x14ac:dyDescent="0.25">
      <c r="F458" s="42"/>
      <c r="G458" s="43"/>
    </row>
    <row r="459" spans="6:7" ht="15.75" customHeight="1" x14ac:dyDescent="0.25">
      <c r="F459" s="42"/>
      <c r="G459" s="43"/>
    </row>
    <row r="460" spans="6:7" ht="15.75" customHeight="1" x14ac:dyDescent="0.25">
      <c r="F460" s="42"/>
      <c r="G460" s="43"/>
    </row>
    <row r="461" spans="6:7" ht="15.75" customHeight="1" x14ac:dyDescent="0.25">
      <c r="F461" s="42"/>
      <c r="G461" s="43"/>
    </row>
    <row r="462" spans="6:7" ht="15.75" customHeight="1" x14ac:dyDescent="0.25">
      <c r="F462" s="42"/>
      <c r="G462" s="43"/>
    </row>
    <row r="463" spans="6:7" ht="15.75" customHeight="1" x14ac:dyDescent="0.25">
      <c r="F463" s="42"/>
      <c r="G463" s="43"/>
    </row>
    <row r="464" spans="6:7" ht="15.75" customHeight="1" x14ac:dyDescent="0.25">
      <c r="F464" s="42"/>
      <c r="G464" s="43"/>
    </row>
    <row r="465" spans="6:7" ht="15.75" customHeight="1" x14ac:dyDescent="0.25">
      <c r="F465" s="42"/>
      <c r="G465" s="43"/>
    </row>
    <row r="466" spans="6:7" ht="15.75" customHeight="1" x14ac:dyDescent="0.25">
      <c r="F466" s="42"/>
      <c r="G466" s="43"/>
    </row>
    <row r="467" spans="6:7" ht="15.75" customHeight="1" x14ac:dyDescent="0.25">
      <c r="F467" s="42"/>
      <c r="G467" s="43"/>
    </row>
    <row r="468" spans="6:7" ht="15.75" customHeight="1" x14ac:dyDescent="0.25">
      <c r="F468" s="42"/>
      <c r="G468" s="43"/>
    </row>
    <row r="469" spans="6:7" ht="15.75" customHeight="1" x14ac:dyDescent="0.25">
      <c r="F469" s="42"/>
      <c r="G469" s="43"/>
    </row>
    <row r="470" spans="6:7" ht="15.75" customHeight="1" x14ac:dyDescent="0.25">
      <c r="F470" s="42"/>
      <c r="G470" s="43"/>
    </row>
    <row r="471" spans="6:7" ht="15.75" customHeight="1" x14ac:dyDescent="0.25">
      <c r="F471" s="42"/>
      <c r="G471" s="43"/>
    </row>
    <row r="472" spans="6:7" ht="15.75" customHeight="1" x14ac:dyDescent="0.25">
      <c r="F472" s="42"/>
      <c r="G472" s="43"/>
    </row>
    <row r="473" spans="6:7" ht="15.75" customHeight="1" x14ac:dyDescent="0.25">
      <c r="F473" s="42"/>
      <c r="G473" s="43"/>
    </row>
    <row r="474" spans="6:7" ht="15.75" customHeight="1" x14ac:dyDescent="0.25">
      <c r="F474" s="42"/>
      <c r="G474" s="43"/>
    </row>
    <row r="475" spans="6:7" ht="15.75" customHeight="1" x14ac:dyDescent="0.25">
      <c r="F475" s="42"/>
      <c r="G475" s="43"/>
    </row>
    <row r="476" spans="6:7" ht="15.75" customHeight="1" x14ac:dyDescent="0.25">
      <c r="F476" s="42"/>
      <c r="G476" s="43"/>
    </row>
    <row r="477" spans="6:7" ht="15.75" customHeight="1" x14ac:dyDescent="0.25">
      <c r="F477" s="42"/>
      <c r="G477" s="43"/>
    </row>
    <row r="478" spans="6:7" ht="15.75" customHeight="1" x14ac:dyDescent="0.25">
      <c r="F478" s="42"/>
      <c r="G478" s="43"/>
    </row>
    <row r="479" spans="6:7" ht="15.75" customHeight="1" x14ac:dyDescent="0.25">
      <c r="F479" s="42"/>
      <c r="G479" s="43"/>
    </row>
    <row r="480" spans="6:7" ht="15.75" customHeight="1" x14ac:dyDescent="0.25">
      <c r="F480" s="42"/>
      <c r="G480" s="43"/>
    </row>
    <row r="481" spans="6:7" ht="15.75" customHeight="1" x14ac:dyDescent="0.25">
      <c r="F481" s="42"/>
      <c r="G481" s="43"/>
    </row>
    <row r="482" spans="6:7" ht="15.75" customHeight="1" x14ac:dyDescent="0.25">
      <c r="F482" s="42"/>
      <c r="G482" s="43"/>
    </row>
    <row r="483" spans="6:7" ht="15.75" customHeight="1" x14ac:dyDescent="0.25">
      <c r="F483" s="42"/>
      <c r="G483" s="43"/>
    </row>
    <row r="484" spans="6:7" ht="15.75" customHeight="1" x14ac:dyDescent="0.25">
      <c r="F484" s="42"/>
      <c r="G484" s="43"/>
    </row>
    <row r="485" spans="6:7" ht="15.75" customHeight="1" x14ac:dyDescent="0.25">
      <c r="F485" s="42"/>
      <c r="G485" s="43"/>
    </row>
    <row r="486" spans="6:7" ht="15.75" customHeight="1" x14ac:dyDescent="0.25">
      <c r="F486" s="42"/>
      <c r="G486" s="43"/>
    </row>
    <row r="487" spans="6:7" ht="15.75" customHeight="1" x14ac:dyDescent="0.25">
      <c r="F487" s="42"/>
      <c r="G487" s="43"/>
    </row>
    <row r="488" spans="6:7" ht="15.75" customHeight="1" x14ac:dyDescent="0.25">
      <c r="F488" s="42"/>
      <c r="G488" s="43"/>
    </row>
    <row r="489" spans="6:7" ht="15.75" customHeight="1" x14ac:dyDescent="0.25">
      <c r="F489" s="42"/>
      <c r="G489" s="43"/>
    </row>
    <row r="490" spans="6:7" ht="15.75" customHeight="1" x14ac:dyDescent="0.25">
      <c r="F490" s="42"/>
      <c r="G490" s="43"/>
    </row>
    <row r="491" spans="6:7" ht="15.75" customHeight="1" x14ac:dyDescent="0.25">
      <c r="F491" s="42"/>
      <c r="G491" s="43"/>
    </row>
    <row r="492" spans="6:7" ht="15.75" customHeight="1" x14ac:dyDescent="0.25">
      <c r="F492" s="42"/>
      <c r="G492" s="43"/>
    </row>
    <row r="493" spans="6:7" ht="15.75" customHeight="1" x14ac:dyDescent="0.25">
      <c r="F493" s="42"/>
      <c r="G493" s="43"/>
    </row>
    <row r="494" spans="6:7" ht="15.75" customHeight="1" x14ac:dyDescent="0.25">
      <c r="F494" s="42"/>
      <c r="G494" s="43"/>
    </row>
    <row r="495" spans="6:7" ht="15.75" customHeight="1" x14ac:dyDescent="0.25">
      <c r="F495" s="42"/>
      <c r="G495" s="43"/>
    </row>
    <row r="496" spans="6:7" ht="15.75" customHeight="1" x14ac:dyDescent="0.25">
      <c r="F496" s="42"/>
      <c r="G496" s="43"/>
    </row>
    <row r="497" spans="6:7" ht="15.75" customHeight="1" x14ac:dyDescent="0.25">
      <c r="F497" s="42"/>
      <c r="G497" s="43"/>
    </row>
    <row r="498" spans="6:7" ht="15.75" customHeight="1" x14ac:dyDescent="0.25">
      <c r="F498" s="42"/>
      <c r="G498" s="43"/>
    </row>
    <row r="499" spans="6:7" ht="15.75" customHeight="1" x14ac:dyDescent="0.25">
      <c r="F499" s="42"/>
      <c r="G499" s="43"/>
    </row>
    <row r="500" spans="6:7" ht="15.75" customHeight="1" x14ac:dyDescent="0.25">
      <c r="F500" s="42"/>
      <c r="G500" s="43"/>
    </row>
    <row r="501" spans="6:7" ht="15.75" customHeight="1" x14ac:dyDescent="0.25">
      <c r="F501" s="42"/>
      <c r="G501" s="43"/>
    </row>
    <row r="502" spans="6:7" ht="15.75" customHeight="1" x14ac:dyDescent="0.25">
      <c r="F502" s="42"/>
      <c r="G502" s="43"/>
    </row>
    <row r="503" spans="6:7" ht="15.75" customHeight="1" x14ac:dyDescent="0.25">
      <c r="F503" s="42"/>
      <c r="G503" s="43"/>
    </row>
    <row r="504" spans="6:7" ht="15.75" customHeight="1" x14ac:dyDescent="0.25">
      <c r="F504" s="42"/>
      <c r="G504" s="43"/>
    </row>
    <row r="505" spans="6:7" ht="15.75" customHeight="1" x14ac:dyDescent="0.25">
      <c r="F505" s="42"/>
      <c r="G505" s="43"/>
    </row>
    <row r="506" spans="6:7" ht="15.75" customHeight="1" x14ac:dyDescent="0.25">
      <c r="F506" s="42"/>
      <c r="G506" s="43"/>
    </row>
    <row r="507" spans="6:7" ht="15.75" customHeight="1" x14ac:dyDescent="0.25">
      <c r="F507" s="42"/>
      <c r="G507" s="43"/>
    </row>
    <row r="508" spans="6:7" ht="15.75" customHeight="1" x14ac:dyDescent="0.25">
      <c r="F508" s="42"/>
      <c r="G508" s="43"/>
    </row>
    <row r="509" spans="6:7" ht="15.75" customHeight="1" x14ac:dyDescent="0.25">
      <c r="F509" s="42"/>
      <c r="G509" s="43"/>
    </row>
    <row r="510" spans="6:7" ht="15.75" customHeight="1" x14ac:dyDescent="0.25">
      <c r="F510" s="42"/>
      <c r="G510" s="43"/>
    </row>
    <row r="511" spans="6:7" ht="15.75" customHeight="1" x14ac:dyDescent="0.25">
      <c r="F511" s="42"/>
      <c r="G511" s="43"/>
    </row>
    <row r="512" spans="6:7" ht="15.75" customHeight="1" x14ac:dyDescent="0.25">
      <c r="F512" s="42"/>
      <c r="G512" s="43"/>
    </row>
    <row r="513" spans="6:7" ht="15.75" customHeight="1" x14ac:dyDescent="0.25">
      <c r="F513" s="42"/>
      <c r="G513" s="43"/>
    </row>
    <row r="514" spans="6:7" ht="15.75" customHeight="1" x14ac:dyDescent="0.25">
      <c r="F514" s="42"/>
      <c r="G514" s="43"/>
    </row>
    <row r="515" spans="6:7" ht="15.75" customHeight="1" x14ac:dyDescent="0.25">
      <c r="F515" s="42"/>
      <c r="G515" s="43"/>
    </row>
    <row r="516" spans="6:7" ht="15.75" customHeight="1" x14ac:dyDescent="0.25">
      <c r="F516" s="42"/>
      <c r="G516" s="43"/>
    </row>
    <row r="517" spans="6:7" ht="15.75" customHeight="1" x14ac:dyDescent="0.25">
      <c r="F517" s="42"/>
      <c r="G517" s="43"/>
    </row>
    <row r="518" spans="6:7" ht="15.75" customHeight="1" x14ac:dyDescent="0.25">
      <c r="F518" s="42"/>
      <c r="G518" s="43"/>
    </row>
    <row r="519" spans="6:7" ht="15.75" customHeight="1" x14ac:dyDescent="0.25">
      <c r="F519" s="42"/>
      <c r="G519" s="43"/>
    </row>
    <row r="520" spans="6:7" ht="15.75" customHeight="1" x14ac:dyDescent="0.25">
      <c r="F520" s="42"/>
      <c r="G520" s="43"/>
    </row>
    <row r="521" spans="6:7" ht="15.75" customHeight="1" x14ac:dyDescent="0.25">
      <c r="F521" s="42"/>
      <c r="G521" s="43"/>
    </row>
    <row r="522" spans="6:7" ht="15.75" customHeight="1" x14ac:dyDescent="0.25">
      <c r="F522" s="42"/>
      <c r="G522" s="43"/>
    </row>
    <row r="523" spans="6:7" ht="15.75" customHeight="1" x14ac:dyDescent="0.25">
      <c r="F523" s="42"/>
      <c r="G523" s="43"/>
    </row>
    <row r="524" spans="6:7" ht="15.75" customHeight="1" x14ac:dyDescent="0.25">
      <c r="F524" s="42"/>
      <c r="G524" s="43"/>
    </row>
    <row r="525" spans="6:7" ht="15.75" customHeight="1" x14ac:dyDescent="0.25">
      <c r="F525" s="42"/>
      <c r="G525" s="43"/>
    </row>
    <row r="526" spans="6:7" ht="15.75" customHeight="1" x14ac:dyDescent="0.25">
      <c r="F526" s="42"/>
      <c r="G526" s="43"/>
    </row>
    <row r="527" spans="6:7" ht="15.75" customHeight="1" x14ac:dyDescent="0.25">
      <c r="F527" s="42"/>
      <c r="G527" s="43"/>
    </row>
    <row r="528" spans="6:7" ht="15.75" customHeight="1" x14ac:dyDescent="0.25">
      <c r="F528" s="42"/>
      <c r="G528" s="43"/>
    </row>
    <row r="529" spans="6:7" ht="15.75" customHeight="1" x14ac:dyDescent="0.25">
      <c r="F529" s="42"/>
      <c r="G529" s="43"/>
    </row>
    <row r="530" spans="6:7" ht="15.75" customHeight="1" x14ac:dyDescent="0.25">
      <c r="F530" s="42"/>
      <c r="G530" s="43"/>
    </row>
    <row r="531" spans="6:7" ht="15.75" customHeight="1" x14ac:dyDescent="0.25">
      <c r="F531" s="42"/>
      <c r="G531" s="43"/>
    </row>
    <row r="532" spans="6:7" ht="15.75" customHeight="1" x14ac:dyDescent="0.25">
      <c r="F532" s="42"/>
      <c r="G532" s="43"/>
    </row>
    <row r="533" spans="6:7" ht="15.75" customHeight="1" x14ac:dyDescent="0.25">
      <c r="F533" s="42"/>
      <c r="G533" s="43"/>
    </row>
    <row r="534" spans="6:7" ht="15.75" customHeight="1" x14ac:dyDescent="0.25">
      <c r="F534" s="42"/>
      <c r="G534" s="43"/>
    </row>
    <row r="535" spans="6:7" ht="15.75" customHeight="1" x14ac:dyDescent="0.25">
      <c r="F535" s="42"/>
      <c r="G535" s="43"/>
    </row>
    <row r="536" spans="6:7" ht="15.75" customHeight="1" x14ac:dyDescent="0.25">
      <c r="F536" s="42"/>
      <c r="G536" s="43"/>
    </row>
    <row r="537" spans="6:7" ht="15.75" customHeight="1" x14ac:dyDescent="0.25">
      <c r="F537" s="42"/>
      <c r="G537" s="43"/>
    </row>
    <row r="538" spans="6:7" ht="15.75" customHeight="1" x14ac:dyDescent="0.25">
      <c r="F538" s="42"/>
      <c r="G538" s="43"/>
    </row>
    <row r="539" spans="6:7" ht="15.75" customHeight="1" x14ac:dyDescent="0.25">
      <c r="F539" s="42"/>
      <c r="G539" s="43"/>
    </row>
    <row r="540" spans="6:7" ht="15.75" customHeight="1" x14ac:dyDescent="0.25">
      <c r="F540" s="42"/>
      <c r="G540" s="43"/>
    </row>
    <row r="541" spans="6:7" ht="15.75" customHeight="1" x14ac:dyDescent="0.25">
      <c r="F541" s="42"/>
      <c r="G541" s="43"/>
    </row>
    <row r="542" spans="6:7" ht="15.75" customHeight="1" x14ac:dyDescent="0.25">
      <c r="F542" s="42"/>
      <c r="G542" s="43"/>
    </row>
    <row r="543" spans="6:7" ht="15.75" customHeight="1" x14ac:dyDescent="0.25">
      <c r="F543" s="42"/>
      <c r="G543" s="43"/>
    </row>
    <row r="544" spans="6:7" ht="15.75" customHeight="1" x14ac:dyDescent="0.25">
      <c r="F544" s="42"/>
      <c r="G544" s="43"/>
    </row>
    <row r="545" spans="6:7" ht="15.75" customHeight="1" x14ac:dyDescent="0.25">
      <c r="F545" s="42"/>
      <c r="G545" s="43"/>
    </row>
    <row r="546" spans="6:7" ht="15.75" customHeight="1" x14ac:dyDescent="0.25">
      <c r="F546" s="42"/>
      <c r="G546" s="43"/>
    </row>
    <row r="547" spans="6:7" ht="15.75" customHeight="1" x14ac:dyDescent="0.25">
      <c r="F547" s="42"/>
      <c r="G547" s="43"/>
    </row>
    <row r="548" spans="6:7" ht="15.75" customHeight="1" x14ac:dyDescent="0.25">
      <c r="F548" s="42"/>
      <c r="G548" s="43"/>
    </row>
    <row r="549" spans="6:7" ht="15.75" customHeight="1" x14ac:dyDescent="0.25">
      <c r="F549" s="42"/>
      <c r="G549" s="43"/>
    </row>
    <row r="550" spans="6:7" ht="15.75" customHeight="1" x14ac:dyDescent="0.25">
      <c r="F550" s="42"/>
      <c r="G550" s="43"/>
    </row>
    <row r="551" spans="6:7" ht="15.75" customHeight="1" x14ac:dyDescent="0.25">
      <c r="F551" s="42"/>
      <c r="G551" s="43"/>
    </row>
    <row r="552" spans="6:7" ht="15.75" customHeight="1" x14ac:dyDescent="0.25">
      <c r="F552" s="42"/>
      <c r="G552" s="43"/>
    </row>
    <row r="553" spans="6:7" ht="15.75" customHeight="1" x14ac:dyDescent="0.25">
      <c r="F553" s="42"/>
      <c r="G553" s="43"/>
    </row>
    <row r="554" spans="6:7" ht="15.75" customHeight="1" x14ac:dyDescent="0.25">
      <c r="F554" s="42"/>
      <c r="G554" s="43"/>
    </row>
    <row r="555" spans="6:7" ht="15.75" customHeight="1" x14ac:dyDescent="0.25">
      <c r="F555" s="42"/>
      <c r="G555" s="43"/>
    </row>
    <row r="556" spans="6:7" ht="15.75" customHeight="1" x14ac:dyDescent="0.25">
      <c r="F556" s="42"/>
      <c r="G556" s="43"/>
    </row>
    <row r="557" spans="6:7" ht="15.75" customHeight="1" x14ac:dyDescent="0.25">
      <c r="F557" s="42"/>
      <c r="G557" s="43"/>
    </row>
    <row r="558" spans="6:7" ht="15.75" customHeight="1" x14ac:dyDescent="0.25">
      <c r="F558" s="42"/>
      <c r="G558" s="43"/>
    </row>
    <row r="559" spans="6:7" ht="15.75" customHeight="1" x14ac:dyDescent="0.25">
      <c r="F559" s="42"/>
      <c r="G559" s="43"/>
    </row>
    <row r="560" spans="6:7" ht="15.75" customHeight="1" x14ac:dyDescent="0.25">
      <c r="F560" s="42"/>
      <c r="G560" s="43"/>
    </row>
    <row r="561" spans="6:7" ht="15.75" customHeight="1" x14ac:dyDescent="0.25">
      <c r="F561" s="42"/>
      <c r="G561" s="43"/>
    </row>
    <row r="562" spans="6:7" ht="15.75" customHeight="1" x14ac:dyDescent="0.25">
      <c r="F562" s="42"/>
      <c r="G562" s="43"/>
    </row>
    <row r="563" spans="6:7" ht="15.75" customHeight="1" x14ac:dyDescent="0.25">
      <c r="F563" s="42"/>
      <c r="G563" s="43"/>
    </row>
    <row r="564" spans="6:7" ht="15.75" customHeight="1" x14ac:dyDescent="0.25">
      <c r="F564" s="42"/>
      <c r="G564" s="43"/>
    </row>
    <row r="565" spans="6:7" ht="15.75" customHeight="1" x14ac:dyDescent="0.25">
      <c r="F565" s="42"/>
      <c r="G565" s="43"/>
    </row>
    <row r="566" spans="6:7" ht="15.75" customHeight="1" x14ac:dyDescent="0.25">
      <c r="F566" s="42"/>
      <c r="G566" s="43"/>
    </row>
    <row r="567" spans="6:7" ht="15.75" customHeight="1" x14ac:dyDescent="0.25">
      <c r="F567" s="42"/>
      <c r="G567" s="43"/>
    </row>
    <row r="568" spans="6:7" ht="15.75" customHeight="1" x14ac:dyDescent="0.25">
      <c r="F568" s="42"/>
      <c r="G568" s="43"/>
    </row>
    <row r="569" spans="6:7" ht="15.75" customHeight="1" x14ac:dyDescent="0.25">
      <c r="F569" s="42"/>
      <c r="G569" s="43"/>
    </row>
    <row r="570" spans="6:7" ht="15.75" customHeight="1" x14ac:dyDescent="0.25">
      <c r="F570" s="42"/>
      <c r="G570" s="43"/>
    </row>
    <row r="571" spans="6:7" ht="15.75" customHeight="1" x14ac:dyDescent="0.25">
      <c r="F571" s="42"/>
      <c r="G571" s="43"/>
    </row>
    <row r="572" spans="6:7" ht="15.75" customHeight="1" x14ac:dyDescent="0.25">
      <c r="F572" s="42"/>
      <c r="G572" s="43"/>
    </row>
    <row r="573" spans="6:7" ht="15.75" customHeight="1" x14ac:dyDescent="0.25">
      <c r="F573" s="42"/>
      <c r="G573" s="43"/>
    </row>
    <row r="574" spans="6:7" ht="15.75" customHeight="1" x14ac:dyDescent="0.25">
      <c r="F574" s="42"/>
      <c r="G574" s="43"/>
    </row>
    <row r="575" spans="6:7" ht="15.75" customHeight="1" x14ac:dyDescent="0.25">
      <c r="F575" s="42"/>
      <c r="G575" s="43"/>
    </row>
    <row r="576" spans="6:7" ht="15.75" customHeight="1" x14ac:dyDescent="0.25">
      <c r="F576" s="42"/>
      <c r="G576" s="43"/>
    </row>
    <row r="577" spans="6:7" ht="15.75" customHeight="1" x14ac:dyDescent="0.25">
      <c r="F577" s="42"/>
      <c r="G577" s="43"/>
    </row>
    <row r="578" spans="6:7" ht="15.75" customHeight="1" x14ac:dyDescent="0.25">
      <c r="F578" s="42"/>
      <c r="G578" s="43"/>
    </row>
    <row r="579" spans="6:7" ht="15.75" customHeight="1" x14ac:dyDescent="0.25">
      <c r="F579" s="42"/>
      <c r="G579" s="43"/>
    </row>
    <row r="580" spans="6:7" ht="15.75" customHeight="1" x14ac:dyDescent="0.25">
      <c r="F580" s="42"/>
      <c r="G580" s="43"/>
    </row>
    <row r="581" spans="6:7" ht="15.75" customHeight="1" x14ac:dyDescent="0.25">
      <c r="F581" s="42"/>
      <c r="G581" s="43"/>
    </row>
    <row r="582" spans="6:7" ht="15.75" customHeight="1" x14ac:dyDescent="0.25">
      <c r="F582" s="42"/>
      <c r="G582" s="43"/>
    </row>
    <row r="583" spans="6:7" ht="15.75" customHeight="1" x14ac:dyDescent="0.25">
      <c r="F583" s="42"/>
      <c r="G583" s="43"/>
    </row>
    <row r="584" spans="6:7" ht="15.75" customHeight="1" x14ac:dyDescent="0.25">
      <c r="F584" s="42"/>
      <c r="G584" s="43"/>
    </row>
    <row r="585" spans="6:7" ht="15.75" customHeight="1" x14ac:dyDescent="0.25">
      <c r="F585" s="42"/>
      <c r="G585" s="43"/>
    </row>
    <row r="586" spans="6:7" ht="15.75" customHeight="1" x14ac:dyDescent="0.25">
      <c r="F586" s="42"/>
      <c r="G586" s="43"/>
    </row>
    <row r="587" spans="6:7" ht="15.75" customHeight="1" x14ac:dyDescent="0.25">
      <c r="F587" s="42"/>
      <c r="G587" s="43"/>
    </row>
    <row r="588" spans="6:7" ht="15.75" customHeight="1" x14ac:dyDescent="0.25">
      <c r="F588" s="42"/>
      <c r="G588" s="43"/>
    </row>
    <row r="589" spans="6:7" ht="15.75" customHeight="1" x14ac:dyDescent="0.25">
      <c r="F589" s="42"/>
      <c r="G589" s="43"/>
    </row>
    <row r="590" spans="6:7" ht="15.75" customHeight="1" x14ac:dyDescent="0.25">
      <c r="F590" s="42"/>
      <c r="G590" s="43"/>
    </row>
    <row r="591" spans="6:7" ht="15.75" customHeight="1" x14ac:dyDescent="0.25">
      <c r="F591" s="42"/>
      <c r="G591" s="43"/>
    </row>
    <row r="592" spans="6:7" ht="15.75" customHeight="1" x14ac:dyDescent="0.25">
      <c r="F592" s="42"/>
      <c r="G592" s="43"/>
    </row>
    <row r="593" spans="6:7" ht="15.75" customHeight="1" x14ac:dyDescent="0.25">
      <c r="F593" s="42"/>
      <c r="G593" s="43"/>
    </row>
    <row r="594" spans="6:7" ht="15.75" customHeight="1" x14ac:dyDescent="0.25">
      <c r="F594" s="42"/>
      <c r="G594" s="43"/>
    </row>
    <row r="595" spans="6:7" ht="15.75" customHeight="1" x14ac:dyDescent="0.25">
      <c r="F595" s="42"/>
      <c r="G595" s="43"/>
    </row>
    <row r="596" spans="6:7" ht="15.75" customHeight="1" x14ac:dyDescent="0.25">
      <c r="F596" s="42"/>
      <c r="G596" s="43"/>
    </row>
    <row r="597" spans="6:7" ht="15.75" customHeight="1" x14ac:dyDescent="0.25">
      <c r="F597" s="42"/>
      <c r="G597" s="43"/>
    </row>
    <row r="598" spans="6:7" ht="15.75" customHeight="1" x14ac:dyDescent="0.25">
      <c r="F598" s="42"/>
      <c r="G598" s="43"/>
    </row>
    <row r="599" spans="6:7" ht="15.75" customHeight="1" x14ac:dyDescent="0.25">
      <c r="F599" s="42"/>
      <c r="G599" s="43"/>
    </row>
    <row r="600" spans="6:7" ht="15.75" customHeight="1" x14ac:dyDescent="0.25">
      <c r="F600" s="42"/>
      <c r="G600" s="43"/>
    </row>
    <row r="601" spans="6:7" ht="15.75" customHeight="1" x14ac:dyDescent="0.25">
      <c r="F601" s="42"/>
      <c r="G601" s="43"/>
    </row>
    <row r="602" spans="6:7" ht="15.75" customHeight="1" x14ac:dyDescent="0.25">
      <c r="F602" s="42"/>
      <c r="G602" s="43"/>
    </row>
    <row r="603" spans="6:7" ht="15.75" customHeight="1" x14ac:dyDescent="0.25">
      <c r="F603" s="42"/>
      <c r="G603" s="43"/>
    </row>
    <row r="604" spans="6:7" ht="15.75" customHeight="1" x14ac:dyDescent="0.25">
      <c r="F604" s="42"/>
      <c r="G604" s="43"/>
    </row>
    <row r="605" spans="6:7" ht="15.75" customHeight="1" x14ac:dyDescent="0.25">
      <c r="F605" s="42"/>
      <c r="G605" s="43"/>
    </row>
    <row r="606" spans="6:7" ht="15.75" customHeight="1" x14ac:dyDescent="0.25">
      <c r="F606" s="42"/>
      <c r="G606" s="43"/>
    </row>
    <row r="607" spans="6:7" ht="15.75" customHeight="1" x14ac:dyDescent="0.25">
      <c r="F607" s="42"/>
      <c r="G607" s="43"/>
    </row>
    <row r="608" spans="6:7" ht="15.75" customHeight="1" x14ac:dyDescent="0.25">
      <c r="F608" s="42"/>
      <c r="G608" s="43"/>
    </row>
    <row r="609" spans="6:7" ht="15.75" customHeight="1" x14ac:dyDescent="0.25">
      <c r="F609" s="42"/>
      <c r="G609" s="43"/>
    </row>
    <row r="610" spans="6:7" ht="15.75" customHeight="1" x14ac:dyDescent="0.25">
      <c r="F610" s="42"/>
      <c r="G610" s="43"/>
    </row>
    <row r="611" spans="6:7" ht="15.75" customHeight="1" x14ac:dyDescent="0.25">
      <c r="F611" s="42"/>
      <c r="G611" s="43"/>
    </row>
    <row r="612" spans="6:7" ht="15.75" customHeight="1" x14ac:dyDescent="0.25">
      <c r="F612" s="42"/>
      <c r="G612" s="43"/>
    </row>
    <row r="613" spans="6:7" ht="15.75" customHeight="1" x14ac:dyDescent="0.25">
      <c r="F613" s="42"/>
      <c r="G613" s="43"/>
    </row>
    <row r="614" spans="6:7" ht="15.75" customHeight="1" x14ac:dyDescent="0.25">
      <c r="F614" s="42"/>
      <c r="G614" s="43"/>
    </row>
    <row r="615" spans="6:7" ht="15.75" customHeight="1" x14ac:dyDescent="0.25">
      <c r="F615" s="42"/>
      <c r="G615" s="43"/>
    </row>
    <row r="616" spans="6:7" ht="15.75" customHeight="1" x14ac:dyDescent="0.25">
      <c r="F616" s="42"/>
      <c r="G616" s="43"/>
    </row>
    <row r="617" spans="6:7" ht="15.75" customHeight="1" x14ac:dyDescent="0.25">
      <c r="F617" s="42"/>
      <c r="G617" s="43"/>
    </row>
    <row r="618" spans="6:7" ht="15.75" customHeight="1" x14ac:dyDescent="0.25">
      <c r="F618" s="42"/>
      <c r="G618" s="43"/>
    </row>
    <row r="619" spans="6:7" ht="15.75" customHeight="1" x14ac:dyDescent="0.25">
      <c r="F619" s="42"/>
      <c r="G619" s="43"/>
    </row>
    <row r="620" spans="6:7" ht="15.75" customHeight="1" x14ac:dyDescent="0.25">
      <c r="F620" s="42"/>
      <c r="G620" s="43"/>
    </row>
    <row r="621" spans="6:7" ht="15.75" customHeight="1" x14ac:dyDescent="0.25">
      <c r="F621" s="42"/>
      <c r="G621" s="43"/>
    </row>
    <row r="622" spans="6:7" ht="15.75" customHeight="1" x14ac:dyDescent="0.25">
      <c r="F622" s="42"/>
      <c r="G622" s="43"/>
    </row>
    <row r="623" spans="6:7" ht="15.75" customHeight="1" x14ac:dyDescent="0.25">
      <c r="F623" s="42"/>
      <c r="G623" s="43"/>
    </row>
    <row r="624" spans="6:7" ht="15.75" customHeight="1" x14ac:dyDescent="0.25">
      <c r="F624" s="42"/>
      <c r="G624" s="43"/>
    </row>
    <row r="625" spans="6:7" ht="15.75" customHeight="1" x14ac:dyDescent="0.25">
      <c r="F625" s="42"/>
      <c r="G625" s="43"/>
    </row>
    <row r="626" spans="6:7" ht="15.75" customHeight="1" x14ac:dyDescent="0.25">
      <c r="F626" s="42"/>
      <c r="G626" s="43"/>
    </row>
    <row r="627" spans="6:7" ht="15.75" customHeight="1" x14ac:dyDescent="0.25">
      <c r="F627" s="42"/>
      <c r="G627" s="43"/>
    </row>
    <row r="628" spans="6:7" ht="15.75" customHeight="1" x14ac:dyDescent="0.25">
      <c r="F628" s="42"/>
      <c r="G628" s="43"/>
    </row>
    <row r="629" spans="6:7" ht="15.75" customHeight="1" x14ac:dyDescent="0.25">
      <c r="F629" s="42"/>
      <c r="G629" s="43"/>
    </row>
    <row r="630" spans="6:7" ht="15.75" customHeight="1" x14ac:dyDescent="0.25">
      <c r="F630" s="42"/>
      <c r="G630" s="43"/>
    </row>
    <row r="631" spans="6:7" ht="15.75" customHeight="1" x14ac:dyDescent="0.25">
      <c r="F631" s="42"/>
      <c r="G631" s="43"/>
    </row>
    <row r="632" spans="6:7" ht="15.75" customHeight="1" x14ac:dyDescent="0.25">
      <c r="F632" s="42"/>
      <c r="G632" s="43"/>
    </row>
    <row r="633" spans="6:7" ht="15.75" customHeight="1" x14ac:dyDescent="0.25">
      <c r="F633" s="42"/>
      <c r="G633" s="43"/>
    </row>
    <row r="634" spans="6:7" ht="15.75" customHeight="1" x14ac:dyDescent="0.25">
      <c r="F634" s="42"/>
      <c r="G634" s="43"/>
    </row>
    <row r="635" spans="6:7" ht="15.75" customHeight="1" x14ac:dyDescent="0.25">
      <c r="F635" s="42"/>
      <c r="G635" s="43"/>
    </row>
    <row r="636" spans="6:7" ht="15.75" customHeight="1" x14ac:dyDescent="0.25">
      <c r="F636" s="42"/>
      <c r="G636" s="43"/>
    </row>
    <row r="637" spans="6:7" ht="15.75" customHeight="1" x14ac:dyDescent="0.25">
      <c r="F637" s="42"/>
      <c r="G637" s="43"/>
    </row>
    <row r="638" spans="6:7" ht="15.75" customHeight="1" x14ac:dyDescent="0.25">
      <c r="F638" s="42"/>
      <c r="G638" s="43"/>
    </row>
    <row r="639" spans="6:7" ht="15.75" customHeight="1" x14ac:dyDescent="0.25">
      <c r="F639" s="42"/>
      <c r="G639" s="43"/>
    </row>
    <row r="640" spans="6:7" ht="15.75" customHeight="1" x14ac:dyDescent="0.25">
      <c r="F640" s="42"/>
      <c r="G640" s="43"/>
    </row>
    <row r="641" spans="6:7" ht="15.75" customHeight="1" x14ac:dyDescent="0.25">
      <c r="F641" s="42"/>
      <c r="G641" s="43"/>
    </row>
    <row r="642" spans="6:7" ht="15.75" customHeight="1" x14ac:dyDescent="0.25">
      <c r="F642" s="42"/>
      <c r="G642" s="43"/>
    </row>
    <row r="643" spans="6:7" ht="15.75" customHeight="1" x14ac:dyDescent="0.25">
      <c r="F643" s="42"/>
      <c r="G643" s="43"/>
    </row>
    <row r="644" spans="6:7" ht="15.75" customHeight="1" x14ac:dyDescent="0.25">
      <c r="F644" s="42"/>
      <c r="G644" s="43"/>
    </row>
    <row r="645" spans="6:7" ht="15.75" customHeight="1" x14ac:dyDescent="0.25">
      <c r="F645" s="42"/>
      <c r="G645" s="43"/>
    </row>
    <row r="646" spans="6:7" ht="15.75" customHeight="1" x14ac:dyDescent="0.25">
      <c r="F646" s="42"/>
      <c r="G646" s="43"/>
    </row>
    <row r="647" spans="6:7" ht="15.75" customHeight="1" x14ac:dyDescent="0.25">
      <c r="F647" s="42"/>
      <c r="G647" s="43"/>
    </row>
    <row r="648" spans="6:7" ht="15.75" customHeight="1" x14ac:dyDescent="0.25">
      <c r="F648" s="42"/>
      <c r="G648" s="43"/>
    </row>
    <row r="649" spans="6:7" ht="15.75" customHeight="1" x14ac:dyDescent="0.25">
      <c r="F649" s="42"/>
      <c r="G649" s="43"/>
    </row>
    <row r="650" spans="6:7" ht="15.75" customHeight="1" x14ac:dyDescent="0.25">
      <c r="F650" s="42"/>
      <c r="G650" s="43"/>
    </row>
    <row r="651" spans="6:7" ht="15.75" customHeight="1" x14ac:dyDescent="0.25">
      <c r="F651" s="42"/>
      <c r="G651" s="43"/>
    </row>
    <row r="652" spans="6:7" ht="15.75" customHeight="1" x14ac:dyDescent="0.25">
      <c r="F652" s="42"/>
      <c r="G652" s="43"/>
    </row>
    <row r="653" spans="6:7" ht="15.75" customHeight="1" x14ac:dyDescent="0.25">
      <c r="F653" s="42"/>
      <c r="G653" s="43"/>
    </row>
    <row r="654" spans="6:7" ht="15.75" customHeight="1" x14ac:dyDescent="0.25">
      <c r="F654" s="42"/>
      <c r="G654" s="43"/>
    </row>
    <row r="655" spans="6:7" ht="15.75" customHeight="1" x14ac:dyDescent="0.25">
      <c r="F655" s="42"/>
      <c r="G655" s="43"/>
    </row>
    <row r="656" spans="6:7" ht="15.75" customHeight="1" x14ac:dyDescent="0.25">
      <c r="F656" s="42"/>
      <c r="G656" s="43"/>
    </row>
    <row r="657" spans="6:7" ht="15.75" customHeight="1" x14ac:dyDescent="0.25">
      <c r="F657" s="42"/>
      <c r="G657" s="43"/>
    </row>
    <row r="658" spans="6:7" ht="15.75" customHeight="1" x14ac:dyDescent="0.25">
      <c r="F658" s="42"/>
      <c r="G658" s="43"/>
    </row>
    <row r="659" spans="6:7" ht="15.75" customHeight="1" x14ac:dyDescent="0.25">
      <c r="F659" s="42"/>
      <c r="G659" s="43"/>
    </row>
    <row r="660" spans="6:7" ht="15.75" customHeight="1" x14ac:dyDescent="0.25">
      <c r="F660" s="42"/>
      <c r="G660" s="43"/>
    </row>
    <row r="661" spans="6:7" ht="15.75" customHeight="1" x14ac:dyDescent="0.25">
      <c r="F661" s="42"/>
      <c r="G661" s="43"/>
    </row>
    <row r="662" spans="6:7" ht="15.75" customHeight="1" x14ac:dyDescent="0.25">
      <c r="F662" s="42"/>
      <c r="G662" s="43"/>
    </row>
    <row r="663" spans="6:7" ht="15.75" customHeight="1" x14ac:dyDescent="0.25">
      <c r="F663" s="42"/>
      <c r="G663" s="43"/>
    </row>
    <row r="664" spans="6:7" ht="15.75" customHeight="1" x14ac:dyDescent="0.25">
      <c r="F664" s="42"/>
      <c r="G664" s="43"/>
    </row>
    <row r="665" spans="6:7" ht="15.75" customHeight="1" x14ac:dyDescent="0.25">
      <c r="F665" s="42"/>
      <c r="G665" s="43"/>
    </row>
    <row r="666" spans="6:7" ht="15.75" customHeight="1" x14ac:dyDescent="0.25">
      <c r="F666" s="42"/>
      <c r="G666" s="43"/>
    </row>
    <row r="667" spans="6:7" ht="15.75" customHeight="1" x14ac:dyDescent="0.25">
      <c r="F667" s="42"/>
      <c r="G667" s="43"/>
    </row>
    <row r="668" spans="6:7" ht="15.75" customHeight="1" x14ac:dyDescent="0.25">
      <c r="F668" s="42"/>
      <c r="G668" s="43"/>
    </row>
    <row r="669" spans="6:7" ht="15.75" customHeight="1" x14ac:dyDescent="0.25">
      <c r="F669" s="42"/>
      <c r="G669" s="43"/>
    </row>
    <row r="670" spans="6:7" ht="15.75" customHeight="1" x14ac:dyDescent="0.25">
      <c r="F670" s="42"/>
      <c r="G670" s="43"/>
    </row>
    <row r="671" spans="6:7" ht="15.75" customHeight="1" x14ac:dyDescent="0.25">
      <c r="F671" s="42"/>
      <c r="G671" s="43"/>
    </row>
    <row r="672" spans="6:7" ht="15.75" customHeight="1" x14ac:dyDescent="0.25">
      <c r="F672" s="42"/>
      <c r="G672" s="43"/>
    </row>
    <row r="673" spans="6:7" ht="15.75" customHeight="1" x14ac:dyDescent="0.25">
      <c r="F673" s="42"/>
      <c r="G673" s="43"/>
    </row>
    <row r="674" spans="6:7" ht="15.75" customHeight="1" x14ac:dyDescent="0.25">
      <c r="F674" s="42"/>
      <c r="G674" s="43"/>
    </row>
    <row r="675" spans="6:7" ht="15.75" customHeight="1" x14ac:dyDescent="0.25">
      <c r="F675" s="42"/>
      <c r="G675" s="43"/>
    </row>
    <row r="676" spans="6:7" ht="15.75" customHeight="1" x14ac:dyDescent="0.25">
      <c r="F676" s="42"/>
      <c r="G676" s="43"/>
    </row>
    <row r="677" spans="6:7" ht="15.75" customHeight="1" x14ac:dyDescent="0.25">
      <c r="F677" s="42"/>
      <c r="G677" s="43"/>
    </row>
    <row r="678" spans="6:7" ht="15.75" customHeight="1" x14ac:dyDescent="0.25">
      <c r="F678" s="42"/>
      <c r="G678" s="43"/>
    </row>
    <row r="679" spans="6:7" ht="15.75" customHeight="1" x14ac:dyDescent="0.25">
      <c r="F679" s="42"/>
      <c r="G679" s="43"/>
    </row>
    <row r="680" spans="6:7" ht="15.75" customHeight="1" x14ac:dyDescent="0.25">
      <c r="F680" s="42"/>
      <c r="G680" s="43"/>
    </row>
    <row r="681" spans="6:7" ht="15.75" customHeight="1" x14ac:dyDescent="0.25">
      <c r="F681" s="42"/>
      <c r="G681" s="43"/>
    </row>
    <row r="682" spans="6:7" ht="15.75" customHeight="1" x14ac:dyDescent="0.25">
      <c r="F682" s="42"/>
      <c r="G682" s="43"/>
    </row>
    <row r="683" spans="6:7" ht="15.75" customHeight="1" x14ac:dyDescent="0.25">
      <c r="F683" s="42"/>
      <c r="G683" s="43"/>
    </row>
    <row r="684" spans="6:7" ht="15.75" customHeight="1" x14ac:dyDescent="0.25">
      <c r="F684" s="42"/>
      <c r="G684" s="43"/>
    </row>
    <row r="685" spans="6:7" ht="15.75" customHeight="1" x14ac:dyDescent="0.25">
      <c r="F685" s="42"/>
      <c r="G685" s="43"/>
    </row>
    <row r="686" spans="6:7" ht="15.75" customHeight="1" x14ac:dyDescent="0.25">
      <c r="F686" s="42"/>
      <c r="G686" s="43"/>
    </row>
    <row r="687" spans="6:7" ht="15.75" customHeight="1" x14ac:dyDescent="0.25">
      <c r="F687" s="42"/>
      <c r="G687" s="43"/>
    </row>
    <row r="688" spans="6:7" ht="15.75" customHeight="1" x14ac:dyDescent="0.25">
      <c r="F688" s="42"/>
      <c r="G688" s="43"/>
    </row>
    <row r="689" spans="6:7" ht="15.75" customHeight="1" x14ac:dyDescent="0.25">
      <c r="F689" s="42"/>
      <c r="G689" s="43"/>
    </row>
    <row r="690" spans="6:7" ht="15.75" customHeight="1" x14ac:dyDescent="0.25">
      <c r="F690" s="42"/>
      <c r="G690" s="43"/>
    </row>
    <row r="691" spans="6:7" ht="15.75" customHeight="1" x14ac:dyDescent="0.25">
      <c r="F691" s="42"/>
      <c r="G691" s="43"/>
    </row>
    <row r="692" spans="6:7" ht="15.75" customHeight="1" x14ac:dyDescent="0.25">
      <c r="F692" s="42"/>
      <c r="G692" s="43"/>
    </row>
    <row r="693" spans="6:7" ht="15.75" customHeight="1" x14ac:dyDescent="0.25">
      <c r="F693" s="42"/>
      <c r="G693" s="43"/>
    </row>
    <row r="694" spans="6:7" ht="15.75" customHeight="1" x14ac:dyDescent="0.25">
      <c r="F694" s="42"/>
      <c r="G694" s="43"/>
    </row>
    <row r="695" spans="6:7" ht="15.75" customHeight="1" x14ac:dyDescent="0.25">
      <c r="F695" s="42"/>
      <c r="G695" s="43"/>
    </row>
    <row r="696" spans="6:7" ht="15.75" customHeight="1" x14ac:dyDescent="0.25">
      <c r="F696" s="42"/>
      <c r="G696" s="43"/>
    </row>
    <row r="697" spans="6:7" ht="15.75" customHeight="1" x14ac:dyDescent="0.25">
      <c r="F697" s="42"/>
      <c r="G697" s="43"/>
    </row>
    <row r="698" spans="6:7" ht="15.75" customHeight="1" x14ac:dyDescent="0.25">
      <c r="F698" s="42"/>
      <c r="G698" s="43"/>
    </row>
    <row r="699" spans="6:7" ht="15.75" customHeight="1" x14ac:dyDescent="0.25">
      <c r="F699" s="42"/>
      <c r="G699" s="43"/>
    </row>
    <row r="700" spans="6:7" ht="15.75" customHeight="1" x14ac:dyDescent="0.25">
      <c r="F700" s="42"/>
      <c r="G700" s="43"/>
    </row>
    <row r="701" spans="6:7" ht="15.75" customHeight="1" x14ac:dyDescent="0.25">
      <c r="F701" s="42"/>
      <c r="G701" s="43"/>
    </row>
    <row r="702" spans="6:7" ht="15.75" customHeight="1" x14ac:dyDescent="0.25">
      <c r="F702" s="42"/>
      <c r="G702" s="43"/>
    </row>
    <row r="703" spans="6:7" ht="15.75" customHeight="1" x14ac:dyDescent="0.25">
      <c r="F703" s="42"/>
      <c r="G703" s="43"/>
    </row>
    <row r="704" spans="6:7" ht="15.75" customHeight="1" x14ac:dyDescent="0.25">
      <c r="F704" s="42"/>
      <c r="G704" s="43"/>
    </row>
    <row r="705" spans="6:7" ht="15.75" customHeight="1" x14ac:dyDescent="0.25">
      <c r="F705" s="42"/>
      <c r="G705" s="43"/>
    </row>
    <row r="706" spans="6:7" ht="15.75" customHeight="1" x14ac:dyDescent="0.25">
      <c r="F706" s="42"/>
      <c r="G706" s="43"/>
    </row>
    <row r="707" spans="6:7" ht="15.75" customHeight="1" x14ac:dyDescent="0.25">
      <c r="F707" s="42"/>
      <c r="G707" s="43"/>
    </row>
    <row r="708" spans="6:7" ht="15.75" customHeight="1" x14ac:dyDescent="0.25">
      <c r="F708" s="42"/>
      <c r="G708" s="43"/>
    </row>
    <row r="709" spans="6:7" ht="15.75" customHeight="1" x14ac:dyDescent="0.25">
      <c r="F709" s="42"/>
      <c r="G709" s="43"/>
    </row>
    <row r="710" spans="6:7" ht="15.75" customHeight="1" x14ac:dyDescent="0.25">
      <c r="F710" s="42"/>
      <c r="G710" s="43"/>
    </row>
    <row r="711" spans="6:7" ht="15.75" customHeight="1" x14ac:dyDescent="0.25">
      <c r="F711" s="42"/>
      <c r="G711" s="43"/>
    </row>
    <row r="712" spans="6:7" ht="15.75" customHeight="1" x14ac:dyDescent="0.25">
      <c r="F712" s="42"/>
      <c r="G712" s="43"/>
    </row>
    <row r="713" spans="6:7" ht="15.75" customHeight="1" x14ac:dyDescent="0.25">
      <c r="F713" s="42"/>
      <c r="G713" s="43"/>
    </row>
    <row r="714" spans="6:7" ht="15.75" customHeight="1" x14ac:dyDescent="0.25">
      <c r="F714" s="42"/>
      <c r="G714" s="43"/>
    </row>
    <row r="715" spans="6:7" ht="15.75" customHeight="1" x14ac:dyDescent="0.25">
      <c r="F715" s="42"/>
      <c r="G715" s="43"/>
    </row>
    <row r="716" spans="6:7" ht="15.75" customHeight="1" x14ac:dyDescent="0.25">
      <c r="F716" s="42"/>
      <c r="G716" s="43"/>
    </row>
    <row r="717" spans="6:7" ht="15.75" customHeight="1" x14ac:dyDescent="0.25">
      <c r="F717" s="42"/>
      <c r="G717" s="43"/>
    </row>
    <row r="718" spans="6:7" ht="15.75" customHeight="1" x14ac:dyDescent="0.25">
      <c r="F718" s="42"/>
      <c r="G718" s="43"/>
    </row>
    <row r="719" spans="6:7" ht="15.75" customHeight="1" x14ac:dyDescent="0.25">
      <c r="F719" s="42"/>
      <c r="G719" s="43"/>
    </row>
    <row r="720" spans="6:7" ht="15.75" customHeight="1" x14ac:dyDescent="0.25">
      <c r="F720" s="42"/>
      <c r="G720" s="43"/>
    </row>
    <row r="721" spans="6:7" ht="15.75" customHeight="1" x14ac:dyDescent="0.25">
      <c r="F721" s="42"/>
      <c r="G721" s="43"/>
    </row>
    <row r="722" spans="6:7" ht="15.75" customHeight="1" x14ac:dyDescent="0.25">
      <c r="F722" s="42"/>
      <c r="G722" s="43"/>
    </row>
    <row r="723" spans="6:7" ht="15.75" customHeight="1" x14ac:dyDescent="0.25">
      <c r="F723" s="42"/>
      <c r="G723" s="43"/>
    </row>
    <row r="724" spans="6:7" ht="15.75" customHeight="1" x14ac:dyDescent="0.25">
      <c r="F724" s="42"/>
      <c r="G724" s="43"/>
    </row>
    <row r="725" spans="6:7" ht="15.75" customHeight="1" x14ac:dyDescent="0.25">
      <c r="F725" s="42"/>
      <c r="G725" s="43"/>
    </row>
    <row r="726" spans="6:7" ht="15.75" customHeight="1" x14ac:dyDescent="0.25">
      <c r="F726" s="42"/>
      <c r="G726" s="43"/>
    </row>
    <row r="727" spans="6:7" ht="15.75" customHeight="1" x14ac:dyDescent="0.25">
      <c r="F727" s="42"/>
      <c r="G727" s="43"/>
    </row>
    <row r="728" spans="6:7" ht="15.75" customHeight="1" x14ac:dyDescent="0.25">
      <c r="F728" s="42"/>
      <c r="G728" s="43"/>
    </row>
    <row r="729" spans="6:7" ht="15.75" customHeight="1" x14ac:dyDescent="0.25">
      <c r="F729" s="42"/>
      <c r="G729" s="43"/>
    </row>
    <row r="730" spans="6:7" ht="15.75" customHeight="1" x14ac:dyDescent="0.25">
      <c r="F730" s="42"/>
      <c r="G730" s="43"/>
    </row>
    <row r="731" spans="6:7" ht="15.75" customHeight="1" x14ac:dyDescent="0.25">
      <c r="F731" s="42"/>
      <c r="G731" s="43"/>
    </row>
    <row r="732" spans="6:7" ht="15.75" customHeight="1" x14ac:dyDescent="0.25">
      <c r="F732" s="42"/>
      <c r="G732" s="43"/>
    </row>
    <row r="733" spans="6:7" ht="15.75" customHeight="1" x14ac:dyDescent="0.25">
      <c r="F733" s="42"/>
      <c r="G733" s="43"/>
    </row>
    <row r="734" spans="6:7" ht="15.75" customHeight="1" x14ac:dyDescent="0.25">
      <c r="F734" s="42"/>
      <c r="G734" s="43"/>
    </row>
    <row r="735" spans="6:7" ht="15.75" customHeight="1" x14ac:dyDescent="0.25">
      <c r="F735" s="42"/>
      <c r="G735" s="43"/>
    </row>
    <row r="736" spans="6:7" ht="15.75" customHeight="1" x14ac:dyDescent="0.25">
      <c r="F736" s="42"/>
      <c r="G736" s="43"/>
    </row>
    <row r="737" spans="6:7" ht="15.75" customHeight="1" x14ac:dyDescent="0.25">
      <c r="F737" s="42"/>
      <c r="G737" s="43"/>
    </row>
    <row r="738" spans="6:7" ht="15.75" customHeight="1" x14ac:dyDescent="0.25">
      <c r="F738" s="42"/>
      <c r="G738" s="43"/>
    </row>
    <row r="739" spans="6:7" ht="15.75" customHeight="1" x14ac:dyDescent="0.25">
      <c r="F739" s="42"/>
      <c r="G739" s="43"/>
    </row>
    <row r="740" spans="6:7" ht="15.75" customHeight="1" x14ac:dyDescent="0.25">
      <c r="F740" s="42"/>
      <c r="G740" s="43"/>
    </row>
    <row r="741" spans="6:7" ht="15.75" customHeight="1" x14ac:dyDescent="0.25">
      <c r="F741" s="42"/>
      <c r="G741" s="43"/>
    </row>
    <row r="742" spans="6:7" ht="15.75" customHeight="1" x14ac:dyDescent="0.25">
      <c r="F742" s="42"/>
      <c r="G742" s="43"/>
    </row>
    <row r="743" spans="6:7" ht="15.75" customHeight="1" x14ac:dyDescent="0.25">
      <c r="F743" s="42"/>
      <c r="G743" s="43"/>
    </row>
    <row r="744" spans="6:7" ht="15.75" customHeight="1" x14ac:dyDescent="0.25">
      <c r="F744" s="42"/>
      <c r="G744" s="43"/>
    </row>
    <row r="745" spans="6:7" ht="15.75" customHeight="1" x14ac:dyDescent="0.25">
      <c r="F745" s="42"/>
      <c r="G745" s="43"/>
    </row>
    <row r="746" spans="6:7" ht="15.75" customHeight="1" x14ac:dyDescent="0.25">
      <c r="F746" s="42"/>
      <c r="G746" s="43"/>
    </row>
    <row r="747" spans="6:7" ht="15.75" customHeight="1" x14ac:dyDescent="0.25">
      <c r="F747" s="42"/>
      <c r="G747" s="43"/>
    </row>
    <row r="748" spans="6:7" ht="15.75" customHeight="1" x14ac:dyDescent="0.25">
      <c r="F748" s="42"/>
      <c r="G748" s="43"/>
    </row>
    <row r="749" spans="6:7" ht="15.75" customHeight="1" x14ac:dyDescent="0.25">
      <c r="F749" s="42"/>
      <c r="G749" s="43"/>
    </row>
    <row r="750" spans="6:7" ht="15.75" customHeight="1" x14ac:dyDescent="0.25">
      <c r="F750" s="42"/>
      <c r="G750" s="43"/>
    </row>
    <row r="751" spans="6:7" ht="15.75" customHeight="1" x14ac:dyDescent="0.25">
      <c r="F751" s="42"/>
      <c r="G751" s="43"/>
    </row>
    <row r="752" spans="6:7" ht="15.75" customHeight="1" x14ac:dyDescent="0.25">
      <c r="F752" s="42"/>
      <c r="G752" s="43"/>
    </row>
    <row r="753" spans="6:7" ht="15.75" customHeight="1" x14ac:dyDescent="0.25">
      <c r="F753" s="42"/>
      <c r="G753" s="43"/>
    </row>
    <row r="754" spans="6:7" ht="15.75" customHeight="1" x14ac:dyDescent="0.25">
      <c r="F754" s="42"/>
      <c r="G754" s="43"/>
    </row>
    <row r="755" spans="6:7" ht="15.75" customHeight="1" x14ac:dyDescent="0.25">
      <c r="F755" s="42"/>
      <c r="G755" s="43"/>
    </row>
    <row r="756" spans="6:7" ht="15.75" customHeight="1" x14ac:dyDescent="0.25">
      <c r="F756" s="42"/>
      <c r="G756" s="43"/>
    </row>
    <row r="757" spans="6:7" ht="15.75" customHeight="1" x14ac:dyDescent="0.25">
      <c r="F757" s="42"/>
      <c r="G757" s="43"/>
    </row>
    <row r="758" spans="6:7" ht="15.75" customHeight="1" x14ac:dyDescent="0.25">
      <c r="F758" s="42"/>
      <c r="G758" s="43"/>
    </row>
    <row r="759" spans="6:7" ht="15.75" customHeight="1" x14ac:dyDescent="0.25">
      <c r="F759" s="42"/>
      <c r="G759" s="43"/>
    </row>
    <row r="760" spans="6:7" ht="15.75" customHeight="1" x14ac:dyDescent="0.25">
      <c r="F760" s="42"/>
      <c r="G760" s="43"/>
    </row>
    <row r="761" spans="6:7" ht="15.75" customHeight="1" x14ac:dyDescent="0.25">
      <c r="F761" s="42"/>
      <c r="G761" s="43"/>
    </row>
    <row r="762" spans="6:7" ht="15.75" customHeight="1" x14ac:dyDescent="0.25">
      <c r="F762" s="42"/>
      <c r="G762" s="43"/>
    </row>
    <row r="763" spans="6:7" ht="15.75" customHeight="1" x14ac:dyDescent="0.25">
      <c r="F763" s="42"/>
      <c r="G763" s="43"/>
    </row>
    <row r="764" spans="6:7" ht="15.75" customHeight="1" x14ac:dyDescent="0.25">
      <c r="F764" s="42"/>
      <c r="G764" s="43"/>
    </row>
    <row r="765" spans="6:7" ht="15.75" customHeight="1" x14ac:dyDescent="0.25">
      <c r="F765" s="42"/>
      <c r="G765" s="43"/>
    </row>
    <row r="766" spans="6:7" ht="15.75" customHeight="1" x14ac:dyDescent="0.25">
      <c r="F766" s="42"/>
      <c r="G766" s="43"/>
    </row>
    <row r="767" spans="6:7" ht="15.75" customHeight="1" x14ac:dyDescent="0.25">
      <c r="F767" s="42"/>
      <c r="G767" s="43"/>
    </row>
    <row r="768" spans="6:7" ht="15.75" customHeight="1" x14ac:dyDescent="0.25">
      <c r="F768" s="42"/>
      <c r="G768" s="43"/>
    </row>
    <row r="769" spans="6:7" ht="15.75" customHeight="1" x14ac:dyDescent="0.25">
      <c r="F769" s="42"/>
      <c r="G769" s="43"/>
    </row>
    <row r="770" spans="6:7" ht="15.75" customHeight="1" x14ac:dyDescent="0.25">
      <c r="F770" s="42"/>
      <c r="G770" s="43"/>
    </row>
    <row r="771" spans="6:7" ht="15.75" customHeight="1" x14ac:dyDescent="0.25">
      <c r="F771" s="42"/>
      <c r="G771" s="43"/>
    </row>
    <row r="772" spans="6:7" ht="15.75" customHeight="1" x14ac:dyDescent="0.25">
      <c r="F772" s="42"/>
      <c r="G772" s="43"/>
    </row>
    <row r="773" spans="6:7" ht="15.75" customHeight="1" x14ac:dyDescent="0.25">
      <c r="F773" s="42"/>
      <c r="G773" s="43"/>
    </row>
    <row r="774" spans="6:7" ht="15.75" customHeight="1" x14ac:dyDescent="0.25">
      <c r="F774" s="42"/>
      <c r="G774" s="43"/>
    </row>
    <row r="775" spans="6:7" ht="15.75" customHeight="1" x14ac:dyDescent="0.25">
      <c r="F775" s="42"/>
      <c r="G775" s="43"/>
    </row>
    <row r="776" spans="6:7" ht="15.75" customHeight="1" x14ac:dyDescent="0.25">
      <c r="F776" s="42"/>
      <c r="G776" s="43"/>
    </row>
    <row r="777" spans="6:7" ht="15.75" customHeight="1" x14ac:dyDescent="0.25">
      <c r="F777" s="42"/>
      <c r="G777" s="43"/>
    </row>
    <row r="778" spans="6:7" ht="15.75" customHeight="1" x14ac:dyDescent="0.25">
      <c r="F778" s="42"/>
      <c r="G778" s="43"/>
    </row>
    <row r="779" spans="6:7" ht="15.75" customHeight="1" x14ac:dyDescent="0.25">
      <c r="F779" s="42"/>
      <c r="G779" s="43"/>
    </row>
    <row r="780" spans="6:7" ht="15.75" customHeight="1" x14ac:dyDescent="0.25">
      <c r="F780" s="42"/>
      <c r="G780" s="43"/>
    </row>
    <row r="781" spans="6:7" ht="15.75" customHeight="1" x14ac:dyDescent="0.25">
      <c r="F781" s="42"/>
      <c r="G781" s="43"/>
    </row>
    <row r="782" spans="6:7" ht="15.75" customHeight="1" x14ac:dyDescent="0.25">
      <c r="F782" s="42"/>
      <c r="G782" s="43"/>
    </row>
    <row r="783" spans="6:7" ht="15.75" customHeight="1" x14ac:dyDescent="0.25">
      <c r="F783" s="42"/>
      <c r="G783" s="43"/>
    </row>
    <row r="784" spans="6:7" ht="15.75" customHeight="1" x14ac:dyDescent="0.25">
      <c r="F784" s="42"/>
      <c r="G784" s="43"/>
    </row>
    <row r="785" spans="6:7" ht="15.75" customHeight="1" x14ac:dyDescent="0.25">
      <c r="F785" s="42"/>
      <c r="G785" s="43"/>
    </row>
    <row r="786" spans="6:7" ht="15.75" customHeight="1" x14ac:dyDescent="0.25">
      <c r="F786" s="42"/>
      <c r="G786" s="43"/>
    </row>
    <row r="787" spans="6:7" ht="15.75" customHeight="1" x14ac:dyDescent="0.25">
      <c r="F787" s="42"/>
      <c r="G787" s="43"/>
    </row>
    <row r="788" spans="6:7" ht="15.75" customHeight="1" x14ac:dyDescent="0.25">
      <c r="F788" s="42"/>
      <c r="G788" s="43"/>
    </row>
    <row r="789" spans="6:7" ht="15.75" customHeight="1" x14ac:dyDescent="0.25">
      <c r="F789" s="42"/>
      <c r="G789" s="43"/>
    </row>
    <row r="790" spans="6:7" ht="15.75" customHeight="1" x14ac:dyDescent="0.25">
      <c r="F790" s="42"/>
      <c r="G790" s="43"/>
    </row>
    <row r="791" spans="6:7" ht="15.75" customHeight="1" x14ac:dyDescent="0.25">
      <c r="F791" s="42"/>
      <c r="G791" s="43"/>
    </row>
    <row r="792" spans="6:7" ht="15.75" customHeight="1" x14ac:dyDescent="0.25">
      <c r="F792" s="42"/>
      <c r="G792" s="43"/>
    </row>
    <row r="793" spans="6:7" ht="15.75" customHeight="1" x14ac:dyDescent="0.25">
      <c r="F793" s="42"/>
      <c r="G793" s="43"/>
    </row>
    <row r="794" spans="6:7" ht="15.75" customHeight="1" x14ac:dyDescent="0.25">
      <c r="F794" s="42"/>
      <c r="G794" s="43"/>
    </row>
    <row r="795" spans="6:7" ht="15.75" customHeight="1" x14ac:dyDescent="0.25">
      <c r="F795" s="42"/>
      <c r="G795" s="43"/>
    </row>
    <row r="796" spans="6:7" ht="15.75" customHeight="1" x14ac:dyDescent="0.25">
      <c r="F796" s="42"/>
      <c r="G796" s="43"/>
    </row>
    <row r="797" spans="6:7" ht="15.75" customHeight="1" x14ac:dyDescent="0.25">
      <c r="F797" s="42"/>
      <c r="G797" s="43"/>
    </row>
    <row r="798" spans="6:7" ht="15.75" customHeight="1" x14ac:dyDescent="0.25">
      <c r="F798" s="42"/>
      <c r="G798" s="43"/>
    </row>
    <row r="799" spans="6:7" ht="15.75" customHeight="1" x14ac:dyDescent="0.25">
      <c r="F799" s="42"/>
      <c r="G799" s="43"/>
    </row>
    <row r="800" spans="6:7" ht="15.75" customHeight="1" x14ac:dyDescent="0.25">
      <c r="F800" s="42"/>
      <c r="G800" s="43"/>
    </row>
    <row r="801" spans="6:7" ht="15.75" customHeight="1" x14ac:dyDescent="0.25">
      <c r="F801" s="42"/>
      <c r="G801" s="43"/>
    </row>
    <row r="802" spans="6:7" ht="15.75" customHeight="1" x14ac:dyDescent="0.25">
      <c r="F802" s="42"/>
      <c r="G802" s="43"/>
    </row>
    <row r="803" spans="6:7" ht="15.75" customHeight="1" x14ac:dyDescent="0.25">
      <c r="F803" s="42"/>
      <c r="G803" s="43"/>
    </row>
    <row r="804" spans="6:7" ht="15.75" customHeight="1" x14ac:dyDescent="0.25">
      <c r="F804" s="42"/>
      <c r="G804" s="43"/>
    </row>
    <row r="805" spans="6:7" ht="15.75" customHeight="1" x14ac:dyDescent="0.25">
      <c r="F805" s="42"/>
      <c r="G805" s="43"/>
    </row>
    <row r="806" spans="6:7" ht="15.75" customHeight="1" x14ac:dyDescent="0.25">
      <c r="F806" s="42"/>
      <c r="G806" s="43"/>
    </row>
    <row r="807" spans="6:7" ht="15.75" customHeight="1" x14ac:dyDescent="0.25">
      <c r="F807" s="42"/>
      <c r="G807" s="43"/>
    </row>
    <row r="808" spans="6:7" ht="15.75" customHeight="1" x14ac:dyDescent="0.25">
      <c r="F808" s="42"/>
      <c r="G808" s="43"/>
    </row>
    <row r="809" spans="6:7" ht="15.75" customHeight="1" x14ac:dyDescent="0.25">
      <c r="F809" s="42"/>
      <c r="G809" s="43"/>
    </row>
    <row r="810" spans="6:7" ht="15.75" customHeight="1" x14ac:dyDescent="0.25">
      <c r="F810" s="42"/>
      <c r="G810" s="43"/>
    </row>
    <row r="811" spans="6:7" ht="15.75" customHeight="1" x14ac:dyDescent="0.25">
      <c r="F811" s="42"/>
      <c r="G811" s="43"/>
    </row>
    <row r="812" spans="6:7" ht="15.75" customHeight="1" x14ac:dyDescent="0.25">
      <c r="F812" s="42"/>
      <c r="G812" s="43"/>
    </row>
    <row r="813" spans="6:7" ht="15.75" customHeight="1" x14ac:dyDescent="0.25">
      <c r="F813" s="42"/>
      <c r="G813" s="43"/>
    </row>
    <row r="814" spans="6:7" ht="15.75" customHeight="1" x14ac:dyDescent="0.25">
      <c r="F814" s="42"/>
      <c r="G814" s="43"/>
    </row>
    <row r="815" spans="6:7" ht="15.75" customHeight="1" x14ac:dyDescent="0.25">
      <c r="F815" s="42"/>
      <c r="G815" s="43"/>
    </row>
    <row r="816" spans="6:7" ht="15.75" customHeight="1" x14ac:dyDescent="0.25">
      <c r="F816" s="42"/>
      <c r="G816" s="43"/>
    </row>
    <row r="817" spans="6:7" ht="15.75" customHeight="1" x14ac:dyDescent="0.25">
      <c r="F817" s="42"/>
      <c r="G817" s="43"/>
    </row>
    <row r="818" spans="6:7" ht="15.75" customHeight="1" x14ac:dyDescent="0.25">
      <c r="F818" s="42"/>
      <c r="G818" s="43"/>
    </row>
    <row r="819" spans="6:7" ht="15.75" customHeight="1" x14ac:dyDescent="0.25">
      <c r="F819" s="42"/>
      <c r="G819" s="43"/>
    </row>
    <row r="820" spans="6:7" ht="15.75" customHeight="1" x14ac:dyDescent="0.25">
      <c r="F820" s="42"/>
      <c r="G820" s="43"/>
    </row>
    <row r="821" spans="6:7" ht="15.75" customHeight="1" x14ac:dyDescent="0.25">
      <c r="F821" s="42"/>
      <c r="G821" s="43"/>
    </row>
    <row r="822" spans="6:7" ht="15.75" customHeight="1" x14ac:dyDescent="0.25">
      <c r="F822" s="42"/>
      <c r="G822" s="43"/>
    </row>
    <row r="823" spans="6:7" ht="15.75" customHeight="1" x14ac:dyDescent="0.25">
      <c r="F823" s="42"/>
      <c r="G823" s="43"/>
    </row>
    <row r="824" spans="6:7" ht="15.75" customHeight="1" x14ac:dyDescent="0.25">
      <c r="F824" s="42"/>
      <c r="G824" s="43"/>
    </row>
    <row r="825" spans="6:7" ht="15.75" customHeight="1" x14ac:dyDescent="0.25">
      <c r="F825" s="42"/>
      <c r="G825" s="43"/>
    </row>
    <row r="826" spans="6:7" ht="15.75" customHeight="1" x14ac:dyDescent="0.25">
      <c r="F826" s="42"/>
      <c r="G826" s="43"/>
    </row>
    <row r="827" spans="6:7" ht="15.75" customHeight="1" x14ac:dyDescent="0.25">
      <c r="F827" s="42"/>
      <c r="G827" s="43"/>
    </row>
    <row r="828" spans="6:7" ht="15.75" customHeight="1" x14ac:dyDescent="0.25">
      <c r="F828" s="42"/>
      <c r="G828" s="43"/>
    </row>
    <row r="829" spans="6:7" ht="15.75" customHeight="1" x14ac:dyDescent="0.25">
      <c r="F829" s="42"/>
      <c r="G829" s="43"/>
    </row>
    <row r="830" spans="6:7" ht="15.75" customHeight="1" x14ac:dyDescent="0.25">
      <c r="F830" s="42"/>
      <c r="G830" s="43"/>
    </row>
    <row r="831" spans="6:7" ht="15.75" customHeight="1" x14ac:dyDescent="0.25">
      <c r="F831" s="42"/>
      <c r="G831" s="43"/>
    </row>
    <row r="832" spans="6:7" ht="15.75" customHeight="1" x14ac:dyDescent="0.25">
      <c r="F832" s="42"/>
      <c r="G832" s="43"/>
    </row>
    <row r="833" spans="6:7" ht="15.75" customHeight="1" x14ac:dyDescent="0.25">
      <c r="F833" s="42"/>
      <c r="G833" s="43"/>
    </row>
    <row r="834" spans="6:7" ht="15.75" customHeight="1" x14ac:dyDescent="0.25">
      <c r="F834" s="42"/>
      <c r="G834" s="43"/>
    </row>
    <row r="835" spans="6:7" ht="15.75" customHeight="1" x14ac:dyDescent="0.25">
      <c r="F835" s="42"/>
      <c r="G835" s="43"/>
    </row>
    <row r="836" spans="6:7" ht="15.75" customHeight="1" x14ac:dyDescent="0.25">
      <c r="F836" s="42"/>
      <c r="G836" s="43"/>
    </row>
    <row r="837" spans="6:7" ht="15.75" customHeight="1" x14ac:dyDescent="0.25">
      <c r="F837" s="42"/>
      <c r="G837" s="43"/>
    </row>
    <row r="838" spans="6:7" ht="15.75" customHeight="1" x14ac:dyDescent="0.25">
      <c r="F838" s="42"/>
      <c r="G838" s="43"/>
    </row>
    <row r="839" spans="6:7" ht="15.75" customHeight="1" x14ac:dyDescent="0.25">
      <c r="F839" s="42"/>
      <c r="G839" s="43"/>
    </row>
    <row r="840" spans="6:7" ht="15.75" customHeight="1" x14ac:dyDescent="0.25">
      <c r="F840" s="42"/>
      <c r="G840" s="43"/>
    </row>
    <row r="841" spans="6:7" ht="15.75" customHeight="1" x14ac:dyDescent="0.25">
      <c r="F841" s="42"/>
      <c r="G841" s="43"/>
    </row>
    <row r="842" spans="6:7" ht="15.75" customHeight="1" x14ac:dyDescent="0.25">
      <c r="F842" s="42"/>
      <c r="G842" s="43"/>
    </row>
    <row r="843" spans="6:7" ht="15.75" customHeight="1" x14ac:dyDescent="0.25">
      <c r="F843" s="42"/>
      <c r="G843" s="43"/>
    </row>
    <row r="844" spans="6:7" ht="15.75" customHeight="1" x14ac:dyDescent="0.25">
      <c r="F844" s="42"/>
      <c r="G844" s="43"/>
    </row>
    <row r="845" spans="6:7" ht="15.75" customHeight="1" x14ac:dyDescent="0.25">
      <c r="F845" s="42"/>
      <c r="G845" s="43"/>
    </row>
    <row r="846" spans="6:7" ht="15.75" customHeight="1" x14ac:dyDescent="0.25">
      <c r="F846" s="42"/>
      <c r="G846" s="43"/>
    </row>
    <row r="847" spans="6:7" ht="15.75" customHeight="1" x14ac:dyDescent="0.25">
      <c r="F847" s="42"/>
      <c r="G847" s="43"/>
    </row>
    <row r="848" spans="6:7" ht="15.75" customHeight="1" x14ac:dyDescent="0.25">
      <c r="F848" s="42"/>
      <c r="G848" s="43"/>
    </row>
    <row r="849" spans="6:7" ht="15.75" customHeight="1" x14ac:dyDescent="0.25">
      <c r="F849" s="42"/>
      <c r="G849" s="43"/>
    </row>
    <row r="850" spans="6:7" ht="15.75" customHeight="1" x14ac:dyDescent="0.25">
      <c r="F850" s="42"/>
      <c r="G850" s="43"/>
    </row>
    <row r="851" spans="6:7" ht="15.75" customHeight="1" x14ac:dyDescent="0.25">
      <c r="F851" s="42"/>
      <c r="G851" s="43"/>
    </row>
    <row r="852" spans="6:7" ht="15.75" customHeight="1" x14ac:dyDescent="0.25">
      <c r="F852" s="42"/>
      <c r="G852" s="43"/>
    </row>
    <row r="853" spans="6:7" ht="15.75" customHeight="1" x14ac:dyDescent="0.25">
      <c r="F853" s="42"/>
      <c r="G853" s="43"/>
    </row>
    <row r="854" spans="6:7" ht="15.75" customHeight="1" x14ac:dyDescent="0.25">
      <c r="F854" s="42"/>
      <c r="G854" s="43"/>
    </row>
    <row r="855" spans="6:7" ht="15.75" customHeight="1" x14ac:dyDescent="0.25">
      <c r="F855" s="42"/>
      <c r="G855" s="43"/>
    </row>
    <row r="856" spans="6:7" ht="15.75" customHeight="1" x14ac:dyDescent="0.25">
      <c r="F856" s="42"/>
      <c r="G856" s="43"/>
    </row>
    <row r="857" spans="6:7" ht="15.75" customHeight="1" x14ac:dyDescent="0.25">
      <c r="F857" s="42"/>
      <c r="G857" s="43"/>
    </row>
    <row r="858" spans="6:7" ht="15.75" customHeight="1" x14ac:dyDescent="0.25">
      <c r="F858" s="42"/>
      <c r="G858" s="43"/>
    </row>
    <row r="859" spans="6:7" ht="15.75" customHeight="1" x14ac:dyDescent="0.25">
      <c r="F859" s="42"/>
      <c r="G859" s="43"/>
    </row>
    <row r="860" spans="6:7" ht="15.75" customHeight="1" x14ac:dyDescent="0.25">
      <c r="F860" s="42"/>
      <c r="G860" s="43"/>
    </row>
    <row r="861" spans="6:7" ht="15.75" customHeight="1" x14ac:dyDescent="0.25">
      <c r="F861" s="42"/>
      <c r="G861" s="43"/>
    </row>
    <row r="862" spans="6:7" ht="15.75" customHeight="1" x14ac:dyDescent="0.25">
      <c r="F862" s="42"/>
      <c r="G862" s="43"/>
    </row>
    <row r="863" spans="6:7" ht="15.75" customHeight="1" x14ac:dyDescent="0.25">
      <c r="F863" s="42"/>
      <c r="G863" s="43"/>
    </row>
    <row r="864" spans="6:7" ht="15.75" customHeight="1" x14ac:dyDescent="0.25">
      <c r="F864" s="42"/>
      <c r="G864" s="43"/>
    </row>
    <row r="865" spans="6:7" ht="15.75" customHeight="1" x14ac:dyDescent="0.25">
      <c r="F865" s="42"/>
      <c r="G865" s="43"/>
    </row>
    <row r="866" spans="6:7" ht="15.75" customHeight="1" x14ac:dyDescent="0.25">
      <c r="F866" s="42"/>
      <c r="G866" s="43"/>
    </row>
    <row r="867" spans="6:7" ht="15.75" customHeight="1" x14ac:dyDescent="0.25">
      <c r="F867" s="42"/>
      <c r="G867" s="43"/>
    </row>
    <row r="868" spans="6:7" ht="15.75" customHeight="1" x14ac:dyDescent="0.25">
      <c r="F868" s="42"/>
      <c r="G868" s="43"/>
    </row>
    <row r="869" spans="6:7" ht="15.75" customHeight="1" x14ac:dyDescent="0.25">
      <c r="F869" s="42"/>
      <c r="G869" s="43"/>
    </row>
    <row r="870" spans="6:7" ht="15.75" customHeight="1" x14ac:dyDescent="0.25">
      <c r="F870" s="42"/>
      <c r="G870" s="43"/>
    </row>
    <row r="871" spans="6:7" ht="15.75" customHeight="1" x14ac:dyDescent="0.25">
      <c r="F871" s="42"/>
      <c r="G871" s="43"/>
    </row>
    <row r="872" spans="6:7" ht="15.75" customHeight="1" x14ac:dyDescent="0.25">
      <c r="F872" s="42"/>
      <c r="G872" s="43"/>
    </row>
    <row r="873" spans="6:7" ht="15.75" customHeight="1" x14ac:dyDescent="0.25">
      <c r="F873" s="42"/>
      <c r="G873" s="43"/>
    </row>
    <row r="874" spans="6:7" ht="15.75" customHeight="1" x14ac:dyDescent="0.25">
      <c r="F874" s="42"/>
      <c r="G874" s="43"/>
    </row>
    <row r="875" spans="6:7" ht="15.75" customHeight="1" x14ac:dyDescent="0.25">
      <c r="F875" s="42"/>
      <c r="G875" s="43"/>
    </row>
    <row r="876" spans="6:7" ht="15.75" customHeight="1" x14ac:dyDescent="0.25">
      <c r="F876" s="42"/>
      <c r="G876" s="43"/>
    </row>
    <row r="877" spans="6:7" ht="15.75" customHeight="1" x14ac:dyDescent="0.25">
      <c r="F877" s="42"/>
      <c r="G877" s="43"/>
    </row>
    <row r="878" spans="6:7" ht="15.75" customHeight="1" x14ac:dyDescent="0.25">
      <c r="F878" s="42"/>
      <c r="G878" s="43"/>
    </row>
    <row r="879" spans="6:7" ht="15.75" customHeight="1" x14ac:dyDescent="0.25">
      <c r="F879" s="42"/>
      <c r="G879" s="43"/>
    </row>
    <row r="880" spans="6:7" ht="15.75" customHeight="1" x14ac:dyDescent="0.25">
      <c r="F880" s="42"/>
      <c r="G880" s="43"/>
    </row>
    <row r="881" spans="6:7" ht="15.75" customHeight="1" x14ac:dyDescent="0.25">
      <c r="F881" s="42"/>
      <c r="G881" s="43"/>
    </row>
    <row r="882" spans="6:7" ht="15.75" customHeight="1" x14ac:dyDescent="0.25">
      <c r="F882" s="42"/>
      <c r="G882" s="43"/>
    </row>
    <row r="883" spans="6:7" ht="15.75" customHeight="1" x14ac:dyDescent="0.25">
      <c r="F883" s="42"/>
      <c r="G883" s="43"/>
    </row>
    <row r="884" spans="6:7" ht="15.75" customHeight="1" x14ac:dyDescent="0.25">
      <c r="F884" s="42"/>
      <c r="G884" s="43"/>
    </row>
    <row r="885" spans="6:7" ht="15.75" customHeight="1" x14ac:dyDescent="0.25">
      <c r="F885" s="42"/>
      <c r="G885" s="43"/>
    </row>
    <row r="886" spans="6:7" ht="15.75" customHeight="1" x14ac:dyDescent="0.25">
      <c r="F886" s="42"/>
      <c r="G886" s="43"/>
    </row>
    <row r="887" spans="6:7" ht="15.75" customHeight="1" x14ac:dyDescent="0.25">
      <c r="F887" s="42"/>
      <c r="G887" s="43"/>
    </row>
    <row r="888" spans="6:7" ht="15.75" customHeight="1" x14ac:dyDescent="0.25">
      <c r="F888" s="42"/>
      <c r="G888" s="43"/>
    </row>
    <row r="889" spans="6:7" ht="15.75" customHeight="1" x14ac:dyDescent="0.25">
      <c r="F889" s="42"/>
      <c r="G889" s="43"/>
    </row>
    <row r="890" spans="6:7" ht="15.75" customHeight="1" x14ac:dyDescent="0.25">
      <c r="F890" s="42"/>
      <c r="G890" s="43"/>
    </row>
    <row r="891" spans="6:7" ht="15.75" customHeight="1" x14ac:dyDescent="0.25">
      <c r="F891" s="42"/>
      <c r="G891" s="43"/>
    </row>
    <row r="892" spans="6:7" ht="15.75" customHeight="1" x14ac:dyDescent="0.25">
      <c r="F892" s="42"/>
      <c r="G892" s="43"/>
    </row>
    <row r="893" spans="6:7" ht="15.75" customHeight="1" x14ac:dyDescent="0.25">
      <c r="F893" s="42"/>
      <c r="G893" s="43"/>
    </row>
    <row r="894" spans="6:7" ht="15.75" customHeight="1" x14ac:dyDescent="0.25">
      <c r="F894" s="42"/>
      <c r="G894" s="43"/>
    </row>
    <row r="895" spans="6:7" ht="15.75" customHeight="1" x14ac:dyDescent="0.25">
      <c r="F895" s="42"/>
      <c r="G895" s="43"/>
    </row>
    <row r="896" spans="6:7" ht="15.75" customHeight="1" x14ac:dyDescent="0.25">
      <c r="F896" s="42"/>
      <c r="G896" s="43"/>
    </row>
    <row r="897" spans="6:7" ht="15.75" customHeight="1" x14ac:dyDescent="0.25">
      <c r="F897" s="42"/>
      <c r="G897" s="43"/>
    </row>
    <row r="898" spans="6:7" ht="15.75" customHeight="1" x14ac:dyDescent="0.25">
      <c r="F898" s="42"/>
      <c r="G898" s="43"/>
    </row>
    <row r="899" spans="6:7" ht="15.75" customHeight="1" x14ac:dyDescent="0.25">
      <c r="F899" s="42"/>
      <c r="G899" s="43"/>
    </row>
    <row r="900" spans="6:7" ht="15.75" customHeight="1" x14ac:dyDescent="0.25">
      <c r="F900" s="42"/>
      <c r="G900" s="43"/>
    </row>
    <row r="901" spans="6:7" ht="15.75" customHeight="1" x14ac:dyDescent="0.25">
      <c r="F901" s="42"/>
      <c r="G901" s="43"/>
    </row>
    <row r="902" spans="6:7" ht="15.75" customHeight="1" x14ac:dyDescent="0.25">
      <c r="F902" s="42"/>
      <c r="G902" s="43"/>
    </row>
    <row r="903" spans="6:7" ht="15.75" customHeight="1" x14ac:dyDescent="0.25">
      <c r="F903" s="42"/>
      <c r="G903" s="43"/>
    </row>
    <row r="904" spans="6:7" ht="15.75" customHeight="1" x14ac:dyDescent="0.25">
      <c r="F904" s="42"/>
      <c r="G904" s="43"/>
    </row>
    <row r="905" spans="6:7" ht="15.75" customHeight="1" x14ac:dyDescent="0.25">
      <c r="F905" s="42"/>
      <c r="G905" s="43"/>
    </row>
    <row r="906" spans="6:7" ht="15.75" customHeight="1" x14ac:dyDescent="0.25">
      <c r="F906" s="42"/>
      <c r="G906" s="43"/>
    </row>
    <row r="907" spans="6:7" ht="15.75" customHeight="1" x14ac:dyDescent="0.25">
      <c r="F907" s="42"/>
      <c r="G907" s="43"/>
    </row>
    <row r="908" spans="6:7" ht="15.75" customHeight="1" x14ac:dyDescent="0.25">
      <c r="F908" s="42"/>
      <c r="G908" s="43"/>
    </row>
    <row r="909" spans="6:7" ht="15.75" customHeight="1" x14ac:dyDescent="0.25">
      <c r="F909" s="42"/>
      <c r="G909" s="43"/>
    </row>
    <row r="910" spans="6:7" ht="15.75" customHeight="1" x14ac:dyDescent="0.25">
      <c r="F910" s="42"/>
      <c r="G910" s="43"/>
    </row>
    <row r="911" spans="6:7" ht="15.75" customHeight="1" x14ac:dyDescent="0.25">
      <c r="F911" s="42"/>
      <c r="G911" s="43"/>
    </row>
    <row r="912" spans="6:7" ht="15.75" customHeight="1" x14ac:dyDescent="0.25">
      <c r="F912" s="42"/>
      <c r="G912" s="43"/>
    </row>
    <row r="913" spans="6:7" ht="15.75" customHeight="1" x14ac:dyDescent="0.25">
      <c r="F913" s="42"/>
      <c r="G913" s="43"/>
    </row>
    <row r="914" spans="6:7" ht="15.75" customHeight="1" x14ac:dyDescent="0.25">
      <c r="F914" s="42"/>
      <c r="G914" s="43"/>
    </row>
    <row r="915" spans="6:7" ht="15.75" customHeight="1" x14ac:dyDescent="0.25">
      <c r="F915" s="42"/>
      <c r="G915" s="43"/>
    </row>
    <row r="916" spans="6:7" ht="15.75" customHeight="1" x14ac:dyDescent="0.25">
      <c r="F916" s="42"/>
      <c r="G916" s="43"/>
    </row>
    <row r="917" spans="6:7" ht="15.75" customHeight="1" x14ac:dyDescent="0.25">
      <c r="F917" s="42"/>
      <c r="G917" s="43"/>
    </row>
    <row r="918" spans="6:7" ht="15.75" customHeight="1" x14ac:dyDescent="0.25">
      <c r="F918" s="42"/>
      <c r="G918" s="43"/>
    </row>
    <row r="919" spans="6:7" ht="15.75" customHeight="1" x14ac:dyDescent="0.25">
      <c r="F919" s="42"/>
      <c r="G919" s="43"/>
    </row>
    <row r="920" spans="6:7" ht="15.75" customHeight="1" x14ac:dyDescent="0.25">
      <c r="F920" s="42"/>
      <c r="G920" s="43"/>
    </row>
    <row r="921" spans="6:7" ht="15.75" customHeight="1" x14ac:dyDescent="0.25">
      <c r="F921" s="42"/>
      <c r="G921" s="43"/>
    </row>
    <row r="922" spans="6:7" ht="15.75" customHeight="1" x14ac:dyDescent="0.25">
      <c r="F922" s="42"/>
      <c r="G922" s="43"/>
    </row>
    <row r="923" spans="6:7" ht="15.75" customHeight="1" x14ac:dyDescent="0.25">
      <c r="F923" s="42"/>
      <c r="G923" s="43"/>
    </row>
    <row r="924" spans="6:7" ht="15.75" customHeight="1" x14ac:dyDescent="0.25">
      <c r="F924" s="42"/>
      <c r="G924" s="43"/>
    </row>
    <row r="925" spans="6:7" ht="15.75" customHeight="1" x14ac:dyDescent="0.25">
      <c r="F925" s="42"/>
      <c r="G925" s="43"/>
    </row>
    <row r="926" spans="6:7" ht="15.75" customHeight="1" x14ac:dyDescent="0.25">
      <c r="F926" s="42"/>
      <c r="G926" s="43"/>
    </row>
    <row r="927" spans="6:7" ht="15.75" customHeight="1" x14ac:dyDescent="0.25">
      <c r="F927" s="42"/>
      <c r="G927" s="43"/>
    </row>
    <row r="928" spans="6:7" ht="15.75" customHeight="1" x14ac:dyDescent="0.25">
      <c r="F928" s="42"/>
      <c r="G928" s="43"/>
    </row>
    <row r="929" spans="6:7" ht="15.75" customHeight="1" x14ac:dyDescent="0.25">
      <c r="F929" s="42"/>
      <c r="G929" s="43"/>
    </row>
    <row r="930" spans="6:7" ht="15.75" customHeight="1" x14ac:dyDescent="0.25">
      <c r="F930" s="42"/>
      <c r="G930" s="43"/>
    </row>
    <row r="931" spans="6:7" ht="15.75" customHeight="1" x14ac:dyDescent="0.25">
      <c r="F931" s="42"/>
      <c r="G931" s="43"/>
    </row>
    <row r="932" spans="6:7" ht="15.75" customHeight="1" x14ac:dyDescent="0.25">
      <c r="F932" s="42"/>
      <c r="G932" s="43"/>
    </row>
    <row r="933" spans="6:7" ht="15.75" customHeight="1" x14ac:dyDescent="0.25">
      <c r="F933" s="42"/>
      <c r="G933" s="43"/>
    </row>
    <row r="934" spans="6:7" ht="15.75" customHeight="1" x14ac:dyDescent="0.25">
      <c r="F934" s="42"/>
      <c r="G934" s="43"/>
    </row>
    <row r="935" spans="6:7" ht="15.75" customHeight="1" x14ac:dyDescent="0.25">
      <c r="F935" s="42"/>
      <c r="G935" s="43"/>
    </row>
    <row r="936" spans="6:7" ht="15.75" customHeight="1" x14ac:dyDescent="0.25">
      <c r="F936" s="42"/>
      <c r="G936" s="43"/>
    </row>
    <row r="937" spans="6:7" ht="15.75" customHeight="1" x14ac:dyDescent="0.25">
      <c r="F937" s="42"/>
      <c r="G937" s="43"/>
    </row>
    <row r="938" spans="6:7" ht="15.75" customHeight="1" x14ac:dyDescent="0.25">
      <c r="F938" s="42"/>
      <c r="G938" s="43"/>
    </row>
    <row r="939" spans="6:7" ht="15.75" customHeight="1" x14ac:dyDescent="0.25">
      <c r="F939" s="42"/>
      <c r="G939" s="43"/>
    </row>
    <row r="940" spans="6:7" ht="15.75" customHeight="1" x14ac:dyDescent="0.25">
      <c r="F940" s="42"/>
      <c r="G940" s="43"/>
    </row>
    <row r="941" spans="6:7" ht="15.75" customHeight="1" x14ac:dyDescent="0.25">
      <c r="F941" s="42"/>
      <c r="G941" s="43"/>
    </row>
    <row r="942" spans="6:7" ht="15.75" customHeight="1" x14ac:dyDescent="0.25">
      <c r="F942" s="42"/>
      <c r="G942" s="43"/>
    </row>
    <row r="943" spans="6:7" ht="15.75" customHeight="1" x14ac:dyDescent="0.25">
      <c r="F943" s="42"/>
      <c r="G943" s="43"/>
    </row>
    <row r="944" spans="6:7" ht="15.75" customHeight="1" x14ac:dyDescent="0.25">
      <c r="F944" s="42"/>
      <c r="G944" s="43"/>
    </row>
    <row r="945" spans="6:7" ht="15.75" customHeight="1" x14ac:dyDescent="0.25">
      <c r="F945" s="42"/>
      <c r="G945" s="43"/>
    </row>
    <row r="946" spans="6:7" ht="15.75" customHeight="1" x14ac:dyDescent="0.25">
      <c r="F946" s="42"/>
      <c r="G946" s="43"/>
    </row>
    <row r="947" spans="6:7" ht="15.75" customHeight="1" x14ac:dyDescent="0.25">
      <c r="F947" s="42"/>
      <c r="G947" s="43"/>
    </row>
    <row r="948" spans="6:7" ht="15.75" customHeight="1" x14ac:dyDescent="0.25">
      <c r="F948" s="42"/>
      <c r="G948" s="43"/>
    </row>
    <row r="949" spans="6:7" ht="15.75" customHeight="1" x14ac:dyDescent="0.25">
      <c r="F949" s="42"/>
      <c r="G949" s="43"/>
    </row>
    <row r="950" spans="6:7" ht="15.75" customHeight="1" x14ac:dyDescent="0.25">
      <c r="F950" s="42"/>
      <c r="G950" s="43"/>
    </row>
    <row r="951" spans="6:7" ht="15.75" customHeight="1" x14ac:dyDescent="0.25">
      <c r="F951" s="42"/>
      <c r="G951" s="43"/>
    </row>
    <row r="952" spans="6:7" ht="15.75" customHeight="1" x14ac:dyDescent="0.25">
      <c r="F952" s="42"/>
      <c r="G952" s="43"/>
    </row>
    <row r="953" spans="6:7" ht="15.75" customHeight="1" x14ac:dyDescent="0.25">
      <c r="F953" s="42"/>
      <c r="G953" s="43"/>
    </row>
    <row r="954" spans="6:7" ht="15.75" customHeight="1" x14ac:dyDescent="0.25">
      <c r="F954" s="42"/>
      <c r="G954" s="43"/>
    </row>
    <row r="955" spans="6:7" ht="15.75" customHeight="1" x14ac:dyDescent="0.25">
      <c r="F955" s="42"/>
      <c r="G955" s="43"/>
    </row>
    <row r="956" spans="6:7" ht="15.75" customHeight="1" x14ac:dyDescent="0.25">
      <c r="F956" s="42"/>
      <c r="G956" s="43"/>
    </row>
    <row r="957" spans="6:7" ht="15.75" customHeight="1" x14ac:dyDescent="0.25">
      <c r="F957" s="42"/>
      <c r="G957" s="43"/>
    </row>
    <row r="958" spans="6:7" ht="15.75" customHeight="1" x14ac:dyDescent="0.25">
      <c r="F958" s="42"/>
      <c r="G958" s="43"/>
    </row>
    <row r="959" spans="6:7" ht="15.75" customHeight="1" x14ac:dyDescent="0.25">
      <c r="F959" s="42"/>
      <c r="G959" s="43"/>
    </row>
    <row r="960" spans="6:7" ht="15.75" customHeight="1" x14ac:dyDescent="0.25">
      <c r="F960" s="42"/>
      <c r="G960" s="43"/>
    </row>
    <row r="961" spans="6:7" ht="15.75" customHeight="1" x14ac:dyDescent="0.25">
      <c r="F961" s="42"/>
      <c r="G961" s="43"/>
    </row>
    <row r="962" spans="6:7" ht="15.75" customHeight="1" x14ac:dyDescent="0.25">
      <c r="F962" s="42"/>
      <c r="G962" s="43"/>
    </row>
    <row r="963" spans="6:7" ht="15.75" customHeight="1" x14ac:dyDescent="0.25">
      <c r="F963" s="42"/>
      <c r="G963" s="43"/>
    </row>
    <row r="964" spans="6:7" ht="15.75" customHeight="1" x14ac:dyDescent="0.25">
      <c r="F964" s="42"/>
      <c r="G964" s="43"/>
    </row>
    <row r="965" spans="6:7" ht="15.75" customHeight="1" x14ac:dyDescent="0.25">
      <c r="F965" s="42"/>
      <c r="G965" s="43"/>
    </row>
    <row r="966" spans="6:7" ht="15.75" customHeight="1" x14ac:dyDescent="0.25">
      <c r="F966" s="42"/>
      <c r="G966" s="43"/>
    </row>
    <row r="967" spans="6:7" ht="15.75" customHeight="1" x14ac:dyDescent="0.25">
      <c r="F967" s="42"/>
      <c r="G967" s="43"/>
    </row>
    <row r="968" spans="6:7" ht="15.75" customHeight="1" x14ac:dyDescent="0.25">
      <c r="F968" s="42"/>
      <c r="G968" s="43"/>
    </row>
    <row r="969" spans="6:7" ht="15.75" customHeight="1" x14ac:dyDescent="0.25">
      <c r="F969" s="42"/>
      <c r="G969" s="43"/>
    </row>
    <row r="970" spans="6:7" ht="15.75" customHeight="1" x14ac:dyDescent="0.25">
      <c r="F970" s="42"/>
      <c r="G970" s="43"/>
    </row>
    <row r="971" spans="6:7" ht="15.75" customHeight="1" x14ac:dyDescent="0.25">
      <c r="F971" s="42"/>
      <c r="G971" s="43"/>
    </row>
    <row r="972" spans="6:7" ht="15.75" customHeight="1" x14ac:dyDescent="0.25">
      <c r="F972" s="42"/>
      <c r="G972" s="43"/>
    </row>
    <row r="973" spans="6:7" ht="15.75" customHeight="1" x14ac:dyDescent="0.25">
      <c r="F973" s="42"/>
      <c r="G973" s="43"/>
    </row>
    <row r="974" spans="6:7" ht="15.75" customHeight="1" x14ac:dyDescent="0.25">
      <c r="F974" s="42"/>
      <c r="G974" s="43"/>
    </row>
    <row r="975" spans="6:7" ht="15.75" customHeight="1" x14ac:dyDescent="0.25">
      <c r="F975" s="42"/>
      <c r="G975" s="43"/>
    </row>
    <row r="976" spans="6:7" ht="15.75" customHeight="1" x14ac:dyDescent="0.25">
      <c r="F976" s="42"/>
      <c r="G976" s="43"/>
    </row>
    <row r="977" spans="6:7" ht="15.75" customHeight="1" x14ac:dyDescent="0.25">
      <c r="F977" s="42"/>
      <c r="G977" s="43"/>
    </row>
    <row r="978" spans="6:7" ht="15.75" customHeight="1" x14ac:dyDescent="0.25">
      <c r="F978" s="42"/>
      <c r="G978" s="43"/>
    </row>
    <row r="979" spans="6:7" ht="15.75" customHeight="1" x14ac:dyDescent="0.25">
      <c r="F979" s="42"/>
      <c r="G979" s="43"/>
    </row>
    <row r="980" spans="6:7" ht="15.75" customHeight="1" x14ac:dyDescent="0.25">
      <c r="F980" s="42"/>
      <c r="G980" s="43"/>
    </row>
    <row r="981" spans="6:7" ht="15.75" customHeight="1" x14ac:dyDescent="0.25">
      <c r="F981" s="42"/>
      <c r="G981" s="43"/>
    </row>
    <row r="982" spans="6:7" ht="15.75" customHeight="1" x14ac:dyDescent="0.25">
      <c r="F982" s="42"/>
      <c r="G982" s="43"/>
    </row>
    <row r="983" spans="6:7" ht="15.75" customHeight="1" x14ac:dyDescent="0.25">
      <c r="F983" s="42"/>
      <c r="G983" s="43"/>
    </row>
    <row r="984" spans="6:7" ht="15.75" customHeight="1" x14ac:dyDescent="0.25">
      <c r="F984" s="42"/>
      <c r="G984" s="43"/>
    </row>
    <row r="985" spans="6:7" ht="15.75" customHeight="1" x14ac:dyDescent="0.25">
      <c r="F985" s="42"/>
      <c r="G985" s="43"/>
    </row>
    <row r="986" spans="6:7" ht="15.75" customHeight="1" x14ac:dyDescent="0.25">
      <c r="F986" s="42"/>
      <c r="G986" s="43"/>
    </row>
    <row r="987" spans="6:7" ht="15.75" customHeight="1" x14ac:dyDescent="0.25">
      <c r="F987" s="42"/>
      <c r="G987" s="43"/>
    </row>
    <row r="988" spans="6:7" ht="15.75" customHeight="1" x14ac:dyDescent="0.25">
      <c r="F988" s="42"/>
      <c r="G988" s="43"/>
    </row>
    <row r="989" spans="6:7" ht="15.75" customHeight="1" x14ac:dyDescent="0.25">
      <c r="F989" s="42"/>
      <c r="G989" s="43"/>
    </row>
    <row r="990" spans="6:7" ht="15.75" customHeight="1" x14ac:dyDescent="0.25">
      <c r="F990" s="42"/>
      <c r="G990" s="43"/>
    </row>
    <row r="991" spans="6:7" ht="15.75" customHeight="1" x14ac:dyDescent="0.25">
      <c r="F991" s="42"/>
      <c r="G991" s="43"/>
    </row>
    <row r="992" spans="6:7" ht="15.75" customHeight="1" x14ac:dyDescent="0.25">
      <c r="F992" s="42"/>
      <c r="G992" s="43"/>
    </row>
    <row r="993" spans="6:7" ht="15.75" customHeight="1" x14ac:dyDescent="0.25">
      <c r="F993" s="42"/>
      <c r="G993" s="43"/>
    </row>
    <row r="994" spans="6:7" ht="15.75" customHeight="1" x14ac:dyDescent="0.25">
      <c r="F994" s="42"/>
      <c r="G994" s="43"/>
    </row>
    <row r="995" spans="6:7" ht="15.75" customHeight="1" x14ac:dyDescent="0.25">
      <c r="F995" s="42"/>
      <c r="G995" s="43"/>
    </row>
    <row r="996" spans="6:7" ht="15.75" customHeight="1" x14ac:dyDescent="0.25">
      <c r="F996" s="42"/>
      <c r="G996" s="43"/>
    </row>
    <row r="997" spans="6:7" ht="15.75" customHeight="1" x14ac:dyDescent="0.25">
      <c r="F997" s="42"/>
      <c r="G997" s="43"/>
    </row>
    <row r="998" spans="6:7" ht="15.75" customHeight="1" x14ac:dyDescent="0.25">
      <c r="F998" s="42"/>
      <c r="G998" s="43"/>
    </row>
    <row r="999" spans="6:7" ht="15.75" customHeight="1" x14ac:dyDescent="0.25">
      <c r="F999" s="42"/>
      <c r="G999" s="43"/>
    </row>
    <row r="1000" spans="6:7" ht="15.75" customHeight="1" x14ac:dyDescent="0.25">
      <c r="F1000" s="42"/>
      <c r="G1000" s="43"/>
    </row>
    <row r="1001" spans="6:7" ht="15.75" customHeight="1" x14ac:dyDescent="0.25">
      <c r="F1001" s="42"/>
      <c r="G1001" s="43"/>
    </row>
    <row r="1002" spans="6:7" ht="15.75" customHeight="1" x14ac:dyDescent="0.25">
      <c r="F1002" s="42"/>
      <c r="G1002" s="43"/>
    </row>
    <row r="1003" spans="6:7" ht="15.75" customHeight="1" x14ac:dyDescent="0.25">
      <c r="F1003" s="42"/>
      <c r="G1003" s="43"/>
    </row>
    <row r="1004" spans="6:7" ht="15.75" customHeight="1" x14ac:dyDescent="0.25">
      <c r="F1004" s="42"/>
      <c r="G1004" s="43"/>
    </row>
    <row r="1005" spans="6:7" ht="15.75" customHeight="1" x14ac:dyDescent="0.25">
      <c r="F1005" s="42"/>
      <c r="G1005" s="43"/>
    </row>
  </sheetData>
  <mergeCells count="19">
    <mergeCell ref="S58:S60"/>
    <mergeCell ref="S8:S10"/>
    <mergeCell ref="S48:S50"/>
    <mergeCell ref="S23:S25"/>
    <mergeCell ref="S51:S52"/>
    <mergeCell ref="S53:S55"/>
    <mergeCell ref="S38:S40"/>
    <mergeCell ref="S56:S57"/>
    <mergeCell ref="S11:S12"/>
    <mergeCell ref="S33:S35"/>
    <mergeCell ref="S18:S20"/>
    <mergeCell ref="S43:S45"/>
    <mergeCell ref="S3:S4"/>
    <mergeCell ref="S21:S22"/>
    <mergeCell ref="S41:S42"/>
    <mergeCell ref="S28:S30"/>
    <mergeCell ref="S13:S15"/>
    <mergeCell ref="S31:S32"/>
    <mergeCell ref="S5:S6"/>
  </mergeCells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Narayanan, Ram</dc:creator>
  <cp:lastModifiedBy>Nikhil Nilakantan</cp:lastModifiedBy>
  <dcterms:created xsi:type="dcterms:W3CDTF">2009-08-10T15:29:25Z</dcterms:created>
  <dcterms:modified xsi:type="dcterms:W3CDTF">2026-10-08T04:23:50Z</dcterms:modified>
</cp:coreProperties>
</file>